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8.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1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1.xml"/>
  <Override ContentType="application/vnd.openxmlformats-officedocument.spreadsheetml.pivotCacheDefinition+xml" PartName="/xl/pivotCache/pivotCacheDefinition19.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17.xml"/>
  <Override ContentType="application/vnd.openxmlformats-officedocument.spreadsheetml.pivotCacheDefinition+xml" PartName="/xl/pivotCache/pivotCacheDefinition23.xml"/>
  <Override ContentType="application/vnd.openxmlformats-officedocument.spreadsheetml.pivotCacheDefinition+xml" PartName="/xl/pivotCache/pivotCacheDefinition14.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6.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2.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20.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_1" sheetId="1" r:id="rId5"/>
    <sheet state="visible" name="NO 1" sheetId="2" r:id="rId6"/>
    <sheet state="visible" name="NO 2" sheetId="3" r:id="rId7"/>
    <sheet state="hidden" name="NO_3" sheetId="4" r:id="rId8"/>
    <sheet state="visible" name="NO 3" sheetId="5" r:id="rId9"/>
    <sheet state="hidden" name="Copy of NO 3" sheetId="6" r:id="rId10"/>
    <sheet state="hidden" name="NO__4" sheetId="7" r:id="rId11"/>
    <sheet state="visible" name="NO 4" sheetId="8" r:id="rId12"/>
    <sheet state="visible" name="NO 5" sheetId="9" r:id="rId13"/>
    <sheet state="visible" name="NO 6" sheetId="10" r:id="rId14"/>
    <sheet state="visible" name="NO 7" sheetId="11" r:id="rId15"/>
  </sheets>
  <definedNames/>
  <calcPr/>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s>
</workbook>
</file>

<file path=xl/sharedStrings.xml><?xml version="1.0" encoding="utf-8"?>
<sst xmlns="http://schemas.openxmlformats.org/spreadsheetml/2006/main" count="562" uniqueCount="235">
  <si>
    <t>atmospheric_conditions_1_name</t>
  </si>
  <si>
    <t>total_atmospheric_conditions_1_name</t>
  </si>
  <si>
    <t>SUM of total_atmospheric_conditions_1_name</t>
  </si>
  <si>
    <t>Severe Crosswinds</t>
  </si>
  <si>
    <t>Blowing Sand, Soil, Dirt</t>
  </si>
  <si>
    <t>Pada diagram Jumlah Kecelakaan Berdasarkan Iklim dapat diketahui bahwa tingkat kecelakaan tertinggi terjadi pada saat iklim/cuaca cerah.</t>
  </si>
  <si>
    <t>Reported as Unknown</t>
  </si>
  <si>
    <t>Blowing Snow</t>
  </si>
  <si>
    <t>Other</t>
  </si>
  <si>
    <t>Clear</t>
  </si>
  <si>
    <t>Cloudy</t>
  </si>
  <si>
    <t>Sleet or Hail</t>
  </si>
  <si>
    <t>Fog, Smog, Smoke</t>
  </si>
  <si>
    <t>Freezing Rain or Drizzle</t>
  </si>
  <si>
    <t>Not Reported</t>
  </si>
  <si>
    <t>Rain</t>
  </si>
  <si>
    <t>Snow</t>
  </si>
  <si>
    <t>Grand Total</t>
  </si>
  <si>
    <t>type_of_intersection_name</t>
  </si>
  <si>
    <t>total_type_of_intersection_name</t>
  </si>
  <si>
    <t>Y-Intersection</t>
  </si>
  <si>
    <t>Not an Intersection</t>
  </si>
  <si>
    <t>Other Intersection Type</t>
  </si>
  <si>
    <t>SUM of total_type_of_intersection_name</t>
  </si>
  <si>
    <t>Five Point, or More</t>
  </si>
  <si>
    <t>Pada diagram Jumlah Kecelakaan Pada Persimpangan dapat diketahui bahwa tingkat kecelakaan tertingggi terjadi pada kondisi jalan tanpa persimpangan.</t>
  </si>
  <si>
    <t>Four-Way Intersection</t>
  </si>
  <si>
    <t>L-Intersection</t>
  </si>
  <si>
    <t>Traffic Circle</t>
  </si>
  <si>
    <t>Roundabout</t>
  </si>
  <si>
    <t>T-Intersection</t>
  </si>
  <si>
    <t>light_condition_name</t>
  </si>
  <si>
    <t>total_light_condition_name</t>
  </si>
  <si>
    <t>Dark - Unknown Lighting</t>
  </si>
  <si>
    <t>Dusk</t>
  </si>
  <si>
    <t>Dark - Lighted</t>
  </si>
  <si>
    <t>Dark - Not Lighted</t>
  </si>
  <si>
    <t>Dawn</t>
  </si>
  <si>
    <t>Daylight</t>
  </si>
  <si>
    <t>SUM of total_light_condition_name</t>
  </si>
  <si>
    <t>Pada diagram Jumlah Kecelakaan Berdasarkan Kondisi Hari dapat diketahui bahwa kecelakaan tertinggi terjadi pada siang hari.</t>
  </si>
  <si>
    <t>manner_of_collision_name</t>
  </si>
  <si>
    <t>total_manner_of_collision_name</t>
  </si>
  <si>
    <t>Sideswipe - Same Direction</t>
  </si>
  <si>
    <t>Angle</t>
  </si>
  <si>
    <t>Front-to-Rear</t>
  </si>
  <si>
    <t>Rear-to-Rear</t>
  </si>
  <si>
    <t>Rear-to-Side</t>
  </si>
  <si>
    <t>The First Harmful Event was Not a Collision with a Motor Vehicle in Transport</t>
  </si>
  <si>
    <t>Sideswipe - Opposite Direction</t>
  </si>
  <si>
    <t>Front-to-Front</t>
  </si>
  <si>
    <t>SUM of total_manner_of_collision_name</t>
  </si>
  <si>
    <t>Pada diagram Kondisi Kecelakaan dapat dilihat bahwa angka kecelakaan tertinggi bukan disebabkan oleh tabrakan dengan kendaraan bermotor.</t>
  </si>
  <si>
    <t>Kesimpulan :</t>
  </si>
  <si>
    <t>Dari ke empat data tersebut dapat disimpulkan bahwa kondisi yang dapat meningkatkan resiko kecelakaan yaitu faktor selain kendaraan bermotor yang berpotensi menyebabkan kecelakaan di jalan tanpa persimpangan pada siang hari dan kondisi iklim cerah. Faktor selain kendaraan bermotor bisa berupa hewan liar, pohon tumbang, dll.</t>
  </si>
  <si>
    <t>Query SQL</t>
  </si>
  <si>
    <t>select atmospheric_conditions_1_name_clean, 
count(consecutive_number) total_crash
from crash_pg4
group by atmospheric_conditions_1_name_clean</t>
  </si>
  <si>
    <t>atmospheric_conditions_1_name_clean</t>
  </si>
  <si>
    <t>total_crash</t>
  </si>
  <si>
    <t>Insight</t>
  </si>
  <si>
    <r>
      <rPr>
        <rFont val="Arial"/>
        <color theme="1"/>
      </rPr>
      <t xml:space="preserve">Pada diagram Jumlah Kecelakaan Berdasarkan Iklim dapat diketahui bahwa tingkat kecelakaan tertinggi terjadi pada saat iklim/cuaca cerah dengan </t>
    </r>
    <r>
      <rPr>
        <rFont val="Arial"/>
        <b/>
        <color theme="1"/>
      </rPr>
      <t>24757</t>
    </r>
    <r>
      <rPr>
        <rFont val="Arial"/>
        <color theme="1"/>
      </rPr>
      <t xml:space="preserve"> kasus dan terendahnya pada kondisi badai pasir atau debu sebanyak </t>
    </r>
    <r>
      <rPr>
        <rFont val="Arial"/>
        <b/>
        <color theme="1"/>
      </rPr>
      <t>5</t>
    </r>
    <r>
      <rPr>
        <rFont val="Arial"/>
        <color theme="1"/>
      </rPr>
      <t xml:space="preserve"> kasus</t>
    </r>
  </si>
  <si>
    <t>Rekomendasi</t>
  </si>
  <si>
    <t>1. Untuk dapat memberikan area rest time yang lebih banyak
2. Mengedukasi pengguna jalan tol melalui media-media yang dapat di letakkan di area tertentu di jalan tol
3. Membuat sign seperti rambu-rambu batas kecepatan, hal yang di lakukan pada saat fatique</t>
  </si>
  <si>
    <t>Atmosperic Conditon</t>
  </si>
  <si>
    <t>Total Crash</t>
  </si>
  <si>
    <t>select type_of_intersection_name_clean, 
count(consecutive_number) total_crash
from crash_pg4
group by type_of_intersection_name_clean</t>
  </si>
  <si>
    <t>type_of_intersection_name_clean</t>
  </si>
  <si>
    <r>
      <rPr>
        <rFont val="Arial"/>
        <color theme="1"/>
      </rPr>
      <t xml:space="preserve">Pada diagram Jumlah Kecelakaan Pada Persimpangan dapat diketahui bahwa tingkat kecelakaan tertingggi terjadi pada kondisi jalan tanpa persimpangan dengan </t>
    </r>
    <r>
      <rPr>
        <rFont val="Arial"/>
        <b/>
        <color theme="1"/>
      </rPr>
      <t>26622</t>
    </r>
    <r>
      <rPr>
        <rFont val="Arial"/>
        <color theme="1"/>
      </rPr>
      <t xml:space="preserve"> kasus dan terendahnya pada intersection dengan traffic circle sebanyak </t>
    </r>
    <r>
      <rPr>
        <rFont val="Arial"/>
        <b/>
        <color theme="1"/>
      </rPr>
      <t>9</t>
    </r>
    <r>
      <rPr>
        <rFont val="Arial"/>
        <color theme="1"/>
      </rPr>
      <t xml:space="preserve"> kasus</t>
    </r>
  </si>
  <si>
    <t>Type Intersection</t>
  </si>
  <si>
    <t>select light_condition_name_clean, 
count(consecutive_number) total_crash
from crash_pg4
group by light_condition_name_clean</t>
  </si>
  <si>
    <t>light_condition_name_clean</t>
  </si>
  <si>
    <r>
      <rPr>
        <rFont val="Arial"/>
        <color theme="1"/>
      </rPr>
      <t xml:space="preserve">Pada diagram Jumlah Kecelakaan Berdasarkan Kondisi Hari dapat diketahui bahwa kecelakaan tertinggi terjadi pada siang hari dengan </t>
    </r>
    <r>
      <rPr>
        <rFont val="Arial"/>
        <b/>
        <color theme="1"/>
      </rPr>
      <t>16236</t>
    </r>
    <r>
      <rPr>
        <rFont val="Arial"/>
        <color theme="1"/>
      </rPr>
      <t xml:space="preserve"> kasus dan terendahnya pada kondisi lainnya dengan </t>
    </r>
    <r>
      <rPr>
        <rFont val="Arial"/>
        <b/>
        <color theme="1"/>
      </rPr>
      <t>216</t>
    </r>
    <r>
      <rPr>
        <rFont val="Arial"/>
        <color theme="1"/>
      </rPr>
      <t xml:space="preserve"> kasus</t>
    </r>
  </si>
  <si>
    <t>Light Condition</t>
  </si>
  <si>
    <t>select manner_of_collision_name_clean, 
count(consecutive_number) total_crash
from crash_pg4
group by manner_of_collision_name_clean</t>
  </si>
  <si>
    <t>manner_of_collision_name_clean</t>
  </si>
  <si>
    <r>
      <rPr>
        <rFont val="Arial"/>
        <color theme="1"/>
      </rPr>
      <t xml:space="preserve">Pada diagram Kondisi Kecelakaan dapat dilihat bahwa angka kecelakaan tertinggi bukan disebabkan oleh tabrakan dengan kendaraan bermotor sebanyak </t>
    </r>
    <r>
      <rPr>
        <rFont val="Arial"/>
        <b/>
        <color theme="1"/>
      </rPr>
      <t xml:space="preserve">21769 </t>
    </r>
    <r>
      <rPr>
        <rFont val="Arial"/>
        <color theme="1"/>
      </rPr>
      <t xml:space="preserve">kasus dan terendahnya yaitu rear-to-rear sebanyak </t>
    </r>
    <r>
      <rPr>
        <rFont val="Arial"/>
        <b/>
        <color theme="1"/>
      </rPr>
      <t>2</t>
    </r>
    <r>
      <rPr>
        <rFont val="Arial"/>
        <color theme="1"/>
      </rPr>
      <t xml:space="preserve"> kasus</t>
    </r>
  </si>
  <si>
    <t>1. Untuk dapat memberikan area rest yang lebih banyak
2. Mengedukasi pengguna jalan tol melalui media-media yang dapat di letakkan di area tertentu di jalan tol
3. Membuat sign seperti rambu-rambu batas kecepatan, rambu hal yang perlu di lakukan pada saat fatique</t>
  </si>
  <si>
    <t>Manner of Cillision</t>
  </si>
  <si>
    <t>Insight dan Rekomendasi Keseluruhan :</t>
  </si>
  <si>
    <t xml:space="preserve">Dari ke empat data tersebut dapat disimpulkan bahwa kondisi yang dapat meningkatkan resiko kecelakaan yaitu faktor selain kendaraan bermotor yang berpotensi menyebabkan kecelakaan di jalan tanpa persimpangan pada siang hari dan kondisi iklim cerah. Faktor selain kendaraan bermotor bisa berupa hewan liar, pohon tumbang, dll.
Rekap Rekomendasi : 
1. Untuk dapat memberikan area rest time yang lebih banyak
2. Mengedukasi pengguna jalan tol melalui media-media yang dapat di letakkan di area tertentu di jalan tol
3. Membuat sign seperti rambu-rambu batas kecepatan, hal yang di lakukan pada saat fatique 
                                                </t>
  </si>
  <si>
    <t>SELECT state_name, count(consecutive_number) number_crash
FROM crash_pg4
GROUP BY state_name
ORDER BY number_crash DESC
LIMIT 10</t>
  </si>
  <si>
    <t>Import CSV</t>
  </si>
  <si>
    <t>DATA Visualitation</t>
  </si>
  <si>
    <t>PIVOT Table</t>
  </si>
  <si>
    <t>state_name</t>
  </si>
  <si>
    <t>number_crash</t>
  </si>
  <si>
    <t>State Name</t>
  </si>
  <si>
    <t>Texas</t>
  </si>
  <si>
    <t>California</t>
  </si>
  <si>
    <t>Florida</t>
  </si>
  <si>
    <t>Georgia</t>
  </si>
  <si>
    <t>North Carolina</t>
  </si>
  <si>
    <t>Ohio</t>
  </si>
  <si>
    <t>Illinois</t>
  </si>
  <si>
    <t>Tennessee</t>
  </si>
  <si>
    <t>Pennsylvania</t>
  </si>
  <si>
    <t>Michigan</t>
  </si>
  <si>
    <t>Insight for NHTSA</t>
  </si>
  <si>
    <r>
      <rPr>
        <rFont val="Arial"/>
        <i/>
        <color rgb="FF202122"/>
        <sz val="10.0"/>
      </rPr>
      <t>Texas menjadi negara bagian dengan kasus kecelakaan di jalan tol tertinggi di USA sepanjang tahun 2021 Dengan total 3513 kasus kecelakaan disusul negara bagian California dengan 3484 kasus. Dikutip dari Wikipedia*</t>
    </r>
    <r>
      <rPr>
        <rFont val="Arial"/>
        <color rgb="FF202122"/>
        <sz val="10.0"/>
      </rPr>
      <t xml:space="preserve">)Texas adalah negara bagian terbesar kedua di Amerika Serikat setelah Alaska berdasarkan jumlah penduduk 29 juta jiwa di tahun 2020 dan luas wilayah 676.587 km2, dan negara bagian terbesar di wilayah daratan utama Amerika Serikat. Biasanya sebuah negara bagian yang padat penduduknya akan padat juga lalu-lintasnya secara automatis sangat banyak terjadi kasus kecelakaannya. </t>
    </r>
  </si>
  <si>
    <t xml:space="preserve">1).Undang-undang lalu-lintas harus intens disosialisasikan dan dikampanyekan diberbagai sektor
2).Rambu-rambu lalu-lintas harus jelas dan banyak terpasang pada wilayah yang sering terjadi kecelakaan
3).Polisi lalu-lintas harus siaga di titik kemacetan dan rawan kecelakaan
</t>
  </si>
  <si>
    <t>SQL QUERY</t>
  </si>
  <si>
    <t>select distinct extract(hour from timestamp_of_timezone) as hour,</t>
  </si>
  <si>
    <t>select to_char(state_timestamp_of_crash, 'hh24') hourly_crash, 
count(consecutive_number) total_crash 
from crash_pg4
group by hourly_crash</t>
  </si>
  <si>
    <t>count (consecutive_number) as total_crash</t>
  </si>
  <si>
    <t>from crash_clean</t>
  </si>
  <si>
    <t>group by hour</t>
  </si>
  <si>
    <t>order by hour</t>
  </si>
  <si>
    <t>CSV IMPORTED</t>
  </si>
  <si>
    <t>PIVOT TABLE</t>
  </si>
  <si>
    <t>DATA VISUALIZATION</t>
  </si>
  <si>
    <t>hour</t>
  </si>
  <si>
    <t>SUM of total_crash</t>
  </si>
  <si>
    <t>INSIGHT</t>
  </si>
  <si>
    <t>Berdasarkan data yang telah diolah, jumlah kecelakaan tertinggi ada pada pukul 15.00 dengan jumlah kejadian sebanyak 2155.</t>
  </si>
  <si>
    <t>Sedangkan jumlah kejadian terendah terdapat pada pukul 03.00 waktu setempat dengan total kejadian 913</t>
  </si>
  <si>
    <t>1.
2.
3.</t>
  </si>
  <si>
    <t>select to_char(state_timestamp_of_crash, 'hh24') hourly_crash, 
count(consecutive_number) total_crash 
from crash_pg4
group by hourly_crash</t>
  </si>
  <si>
    <t>hourly_crash</t>
  </si>
  <si>
    <t>Hourly Crash</t>
  </si>
  <si>
    <r>
      <rPr>
        <rFont val="Arial"/>
        <color theme="1"/>
      </rPr>
      <t xml:space="preserve">Berdasarkan data yang telah diolah, jumlah kecelakaan tertinggi ada pada pukul 13.00 dengan jumlah kejadian sebanyak </t>
    </r>
    <r>
      <rPr>
        <rFont val="Arial"/>
        <b/>
        <color theme="1"/>
      </rPr>
      <t>2166</t>
    </r>
    <r>
      <rPr>
        <rFont val="Arial"/>
        <color theme="1"/>
      </rPr>
      <t xml:space="preserve">. Sedangkan jumlah kejadian terendah terdapat pada pukul 03.00 waktu setempat dengan total kejadian </t>
    </r>
    <r>
      <rPr>
        <rFont val="Arial"/>
        <b/>
        <color theme="1"/>
      </rPr>
      <t>883</t>
    </r>
    <r>
      <rPr>
        <rFont val="Arial"/>
        <color theme="1"/>
      </rPr>
      <t xml:space="preserve">
</t>
    </r>
  </si>
  <si>
    <t>1. Untuk dapat memberikan area rest yang lebih banyak
2. Mengedukasi pengguna jalan tol melalui media-media yang dapat di letakkan di area tertentu di jalan tol
3. Membuat sign seperti rambu-rambu batas kecepatan, hal yang di lakukan pada saat fatique</t>
  </si>
  <si>
    <t xml:space="preserve">Pengolahan Data Dengan Penambahan Variabel Area dan Persimpangan </t>
  </si>
  <si>
    <t>select distinct extract(hour from state_timestamp_of_crash) as hour,
count (consecutive_number) as total_crash,
count(land_use_name_clean) filter (where land_use_name_clean like '%Rural%') as rural_land,
count(land_use_name_clean) filter (where land_use_name_clean like '%Urban%') as urban_land,
count(type_of_intersection_name_clean) filter (where type_of_intersection_name_clean like '%T-Intersection%') as T_Intersection,
count(type_of_intersection_name_clean) filter (where type_of_intersection_name_clean like '%Y-Intersection%') as Y_Intersection,
count(type_of_intersection_name_clean) filter (where type_of_intersection_name_clean like '%Not an Intersection%') as Not_an_Intersection,
count(type_of_intersection_name_clean) filter (where type_of_intersection_name_clean like '%Other Intersection Type%') as Other_Intersection,
count(type_of_intersection_name_clean) filter (where type_of_intersection_name_clean like '%Five Point, or More%') as more_than_four_intersection,
count(type_of_intersection_name_clean) filter (where type_of_intersection_name_clean like '%Four-Way Intersection%') as four_intersection,
count(type_of_intersection_name_clean) filter (where type_of_intersection_name_clean like '%L-Intersection%') as L_Intersection,
count(type_of_intersection_name_clean) filter (where type_of_intersection_name_clean like '%Traffic Circle%') as Traffic_Circle,
count(type_of_intersection_name_clean) filter (where type_of_intersection_name_clean like '%Roundabout%') as Roundabout
from crash_pg4
where extract(hour from state_timestamp_of_crash) = 13
group by hour
order by hour</t>
  </si>
  <si>
    <t>rural_land</t>
  </si>
  <si>
    <t>urban_land</t>
  </si>
  <si>
    <t>t_intersection</t>
  </si>
  <si>
    <t>y_intersection</t>
  </si>
  <si>
    <t>not_an_intersection</t>
  </si>
  <si>
    <t>other_intersection</t>
  </si>
  <si>
    <t>more_than_four_intersection</t>
  </si>
  <si>
    <t>four_intersection</t>
  </si>
  <si>
    <t>l_intersection</t>
  </si>
  <si>
    <t>traffic_circle</t>
  </si>
  <si>
    <t>roundabout</t>
  </si>
  <si>
    <t>Pivot Crash by Area</t>
  </si>
  <si>
    <t>cases</t>
  </si>
  <si>
    <t>total crash</t>
  </si>
  <si>
    <t>urban</t>
  </si>
  <si>
    <t>rural</t>
  </si>
  <si>
    <t>Pivot Crash by Intersection</t>
  </si>
  <si>
    <t>Berdasarkan hasil yang sebelumnya telah didapat data yang diolah lebih lanjut menjunjukkan bahwa kecelakaan terjadi di daerah perkotaan dan jalanan lurus tanpa persimpangan. berdasarkan heinzlaw.com jam sibuk pada sebagian besar wilayah USA yaitu 5–9 AM (5:00–9:00) dan 4–8 PM (terkadang from 4-9 PM) (16:00–20:00 (terkadang 16:00-21:00)). hal ini menunjukkan bahwa kecelakaan banyak terjadi saat kondisi jalanan cukup lengang. sehingga faktor tinggi yang menyebabkan kecelakaan yaitu kelalaian pengendara.</t>
  </si>
  <si>
    <t>Data menunjukkan bahwa 24,6% kecelakaan yang terjadi pada puul 13.00 terjadi di perkotaan dengan kodisi jalanan tanpa persimpangan.</t>
  </si>
  <si>
    <t>Untuk mengurangi jumlah kecelakaan dapat dilakukan beberapa hal diantaranya :</t>
  </si>
  <si>
    <t>1. memberikan rumble strips pada jalanan lurus yang cukup panjang sehingga pengemudi tidak mengantuk dan mengurangi kecepatan</t>
  </si>
  <si>
    <t>2.memberikan rambu tambahan tiap beberapa kilometer</t>
  </si>
  <si>
    <t>3. menambahkan batas kecepatan pada jalanan rawan kecelakaan</t>
  </si>
  <si>
    <t>other intersection</t>
  </si>
  <si>
    <t>more than 4 intersection</t>
  </si>
  <si>
    <t>i interxection</t>
  </si>
  <si>
    <t>traffic circle</t>
  </si>
  <si>
    <t>Pengolalhan Data Perkotaan Dan Buakan Persimpangan</t>
  </si>
  <si>
    <t>select distinct extract(hour from state_timestamp_of_crash) as hour,select distinct extract(hour from state_timestamp_of_crash) as hour,
count (consecutive_number) as total_crash,
count(land_use_name_clean) filter (where land_use_name_clean like '%Rural%') as rural_land,
count(type_of_intersection_name_clean) filter (where type_of_intersection_name_clean like '%T-Intersection%') as T_Intersection,
count(type_of_intersection_name_clean) filter (where type_of_intersection_name_clean like '%Y-Intersection%') as Y_Intersection,
count(type_of_intersection_name_clean) filter (where type_of_intersection_name_clean like '%Not an Intersection%') as Not_an_Intersection,
count(type_of_intersection_name_clean) filter (where type_of_intersection_name_clean like '%Other Intersection Type%') as Other_Intersection,
count(type_of_intersection_name_clean) filter (where type_of_intersection_name_clean like '%Five Point, or More%') as more_than_four_intersection,
count(type_of_intersection_name_clean) filter (where type_of_intersection_name_clean like '%Four-Way Intersection%') as four_intersection,
count(type_of_intersection_name_clean) filter (where type_of_intersection_name_clean like '%L-Intersection%') as L_Intersection,
count(type_of_intersection_name_clean) filter (where type_of_intersection_name_clean like '%Traffic Circle%') as Traffic_Circle,
count(type_of_intersection_name_clean) filter (where type_of_intersection_name_clean like '%Roundabout%') as Roundabout
from crash_pg4
where extract(hour from state_timestamp_of_crash) = 13
and land_use_name_clean like '%Rural%'
group by hour
order by hour</t>
  </si>
  <si>
    <t>CSV Imported</t>
  </si>
  <si>
    <t>urban_not_an_intersection</t>
  </si>
  <si>
    <r>
      <rPr>
        <rFont val="Arial"/>
        <color theme="1"/>
      </rPr>
      <t xml:space="preserve">Berdasarkan data yang telah diolah, jumlah kecelakaan tertinggi ada pada pukul 13.00 dengan jumlah kejadian sebanyak </t>
    </r>
    <r>
      <rPr>
        <rFont val="Arial"/>
        <b/>
        <color theme="1"/>
      </rPr>
      <t>2166</t>
    </r>
    <r>
      <rPr>
        <rFont val="Arial"/>
        <color theme="1"/>
      </rPr>
      <t xml:space="preserve">. Sedangkan jumlah kejadian terendah terdapat pada pukul 03.00 waktu setempat dengan total kejadian </t>
    </r>
    <r>
      <rPr>
        <rFont val="Arial"/>
        <b/>
        <color theme="1"/>
      </rPr>
      <t>883</t>
    </r>
    <r>
      <rPr>
        <rFont val="Arial"/>
        <color theme="1"/>
      </rPr>
      <t xml:space="preserve">
</t>
    </r>
  </si>
  <si>
    <t xml:space="preserve">select distinct extract(hour from state_timestamp_of_crash) as hour,
count (consecutive_number) as total_crash,
count(land_use_name_clean) filter (where land_use_name_clean like '%Rural%') as rural_land,
count(land_use_name_clean) filter (where land_use_name_clean like '%Urban%') as urban_land,
count(type_of_intersection_name_clean) filter (where type_of_intersection_name_clean like '%T-Intersection%') as T_Intersection,
count(type_of_intersection_name_clean) filter (where type_of_intersection_name_clean like '%Y-Intersection%') as Y_Intersection,
count(type_of_intersection_name_clean) filter (where type_of_intersection_name_clean like '%Not an Intersection%') as Not_an_Intersection,
count(type_of_intersection_name_clean) filter (where type_of_intersection_name_clean like '%Other Intersection Type%') as Other_Intersection,
count(type_of_intersection_name_clean) filter (where type_of_intersection_name_clean like '%Five Point, or More%') as more_than_four_intersection,
count(type_of_intersection_name_clean) filter (where type_of_intersection_name_clean like '%Four-Way Intersection%') as four_intersection,
count(type_of_intersection_name_clean) filter (where type_of_intersection_name_clean like '%L-Intersection%') as L_Intersection,
count(type_of_intersection_name_clean) filter (where type_of_intersection_name_clean like '%Traffic Circle%') as Traffic_Circle,
count(type_of_intersection_name_clean) filter (where type_of_intersection_name_clean like '%Roundabout%') as Roundabout
from crash_pg4
where extract(hour from state_timestamp_of_crash) = 13
group by hour
order by hour
</t>
  </si>
  <si>
    <t>Berdasarkan hasil yang sebelumnya telah didapat data yang diolah lebih lanjut menjunjukkan bahwa kecelakaan terjadi di daerah perkotaan dan jalanan lurus tanpa persimpangan pada pukul 13.00</t>
  </si>
  <si>
    <t>count (consecutive_number) as total_crash,</t>
  </si>
  <si>
    <t>count(land_use_name) filter (where land_use_name like '%Rural%') as rural_land,</t>
  </si>
  <si>
    <t>count(land_use_name) filter (where land_use_name like '%Urban%') as urban_land,</t>
  </si>
  <si>
    <t>count(type_of_intersection_name) filter (where type_of_intersection_name like '%T-Intersection%') as T_Intersection,</t>
  </si>
  <si>
    <t>count(type_of_intersection_name) filter (where type_of_intersection_name like '%Y-Intersection%') as Y_Intersection,</t>
  </si>
  <si>
    <t>count(type_of_intersection_name) filter (where type_of_intersection_name like '%Not an Intersection%') as Not_an_Intersection,</t>
  </si>
  <si>
    <t>count(type_of_intersection_name) filter (where type_of_intersection_name like '%Other Intersection Type%') as Other_Intersection,</t>
  </si>
  <si>
    <t>count(type_of_intersection_name) filter (where type_of_intersection_name like '%Five Point, or More%') as more_than_four_intersection,</t>
  </si>
  <si>
    <t>count(type_of_intersection_name) filter (where type_of_intersection_name like '%Four-Way Intersection%') as four_intersection,</t>
  </si>
  <si>
    <t>count(type_of_intersection_name) filter (where type_of_intersection_name like '%L-Intersection%') as L_Intersection,</t>
  </si>
  <si>
    <t>count(type_of_intersection_name) filter (where type_of_intersection_name like '%Traffic Circle%') as Traffic_Circle,</t>
  </si>
  <si>
    <t>count(type_of_intersection_name) filter (where type_of_intersection_name like '%Roundabout%') as Roundabout</t>
  </si>
  <si>
    <t>Query :</t>
  </si>
  <si>
    <t>with sum_drunk_drivers as (
select cast(count(consecutive_number) as int) total_crash,
cast(sum(number_of_drunk_drivers) as int) total_drunkers 
from crash_pg4)
select (CAST(total_drunkers AS FLOAT))/(CAST(total_crash AS FLOAT))*100.0
from sum_drunk_drivers</t>
  </si>
  <si>
    <t>number_of_drunk_drivers</t>
  </si>
  <si>
    <t>other</t>
  </si>
  <si>
    <t>consecutive_number</t>
  </si>
  <si>
    <t>Pivot :</t>
  </si>
  <si>
    <t>Not Drunk Drivers</t>
  </si>
  <si>
    <t>Data Visualization</t>
  </si>
  <si>
    <r>
      <rPr>
        <rFont val="&quot;Google Sans&quot;, Roboto, sans-serif"/>
        <color rgb="FF1F1F1F"/>
        <sz val="10.0"/>
      </rPr>
      <t xml:space="preserve">Berkendara dalam kondisi mabuk tentu menimbulkan efek negatif seperti menurunnya konsentrasi, pengelihatan menjadi tidak fokus dan menurunnya Refleks dan daya ingat. Berdasarkan tabel terdapat </t>
    </r>
    <r>
      <rPr>
        <rFont val="&quot;Google Sans&quot;, Roboto, sans-serif"/>
        <b/>
        <color rgb="FF1F1F1F"/>
        <sz val="10.0"/>
      </rPr>
      <t xml:space="preserve">26,6% </t>
    </r>
    <r>
      <rPr>
        <rFont val="&quot;Google Sans&quot;, Roboto, sans-serif"/>
        <color rgb="FF1F1F1F"/>
        <sz val="10.0"/>
      </rPr>
      <t xml:space="preserve">atau sebanyak </t>
    </r>
    <r>
      <rPr>
        <rFont val="&quot;Google Sans&quot;, Roboto, sans-serif"/>
        <b/>
        <color rgb="FF1F1F1F"/>
        <sz val="10.0"/>
      </rPr>
      <t>9415</t>
    </r>
    <r>
      <rPr>
        <rFont val="&quot;Google Sans&quot;, Roboto, sans-serif"/>
        <color rgb="FF1F1F1F"/>
        <sz val="10.0"/>
      </rPr>
      <t xml:space="preserve"> kasus kecelakaan yang disebabkan oleh pengemudi yang mabuk di jalan tol sepanjang tahun 2021, oleh karena itu sangat diperlukan himbauan dan sosialisasi tentang betapa berbahayanya mengemudi dalam keadaan mabuk.</t>
    </r>
  </si>
  <si>
    <t>Adapun beberapa rekomendasi yang dapat dilakukan untuk mengurangi kecelakaan akibat pengguna mabuk adalah dengan cara : 
1.Memberikan himbauan dan sosialisasi tentang tata tertib lalulintas dilembaga2 pendidikan. 
2.Memberikan himbauan dan sosialisasi kepada masyarakat melalui berbagai media yang ada seperti media massa, digital, media sosial, baliho dan billboard yang dipasang didaerah2 rawan kecelakaan. 
3.Menindak tegas berdasarkan hukum yang berlaku. Sehingga diharapkan melalui 
Dari 3 hal tersebut diharapkan dapat meminimalisasi angka kecelakaan yang disebabkan oleh pengemudi yang mabuk.</t>
  </si>
  <si>
    <t>select case
when number_of_drunk_drivers between 1 and 4 then 'Drunk Drivers'
else 'Not Drunk Drivers'
end cases,
count(consecutive_number) total_cases
from crash_pg4
group by 1</t>
  </si>
  <si>
    <t>total_cases</t>
  </si>
  <si>
    <t>Drunk Drivers</t>
  </si>
  <si>
    <r>
      <rPr>
        <rFont val="&quot;Google Sans&quot;, Roboto, sans-serif"/>
        <color rgb="FF1F1F1F"/>
        <sz val="10.0"/>
      </rPr>
      <t xml:space="preserve">Berdasarkan tabel terdapat </t>
    </r>
    <r>
      <rPr>
        <rFont val="&quot;Google Sans&quot;, Roboto, sans-serif"/>
        <b/>
        <color rgb="FF1F1F1F"/>
        <sz val="10.0"/>
      </rPr>
      <t xml:space="preserve">25,8% </t>
    </r>
    <r>
      <rPr>
        <rFont val="&quot;Google Sans&quot;, Roboto, sans-serif"/>
        <color rgb="FF1F1F1F"/>
        <sz val="10.0"/>
      </rPr>
      <t xml:space="preserve">atau sebanyak </t>
    </r>
    <r>
      <rPr>
        <rFont val="&quot;Google Sans&quot;, Roboto, sans-serif"/>
        <b/>
        <color rgb="FF1F1F1F"/>
        <sz val="10.0"/>
      </rPr>
      <t>9121</t>
    </r>
    <r>
      <rPr>
        <rFont val="&quot;Google Sans&quot;, Roboto, sans-serif"/>
        <color rgb="FF1F1F1F"/>
        <sz val="10.0"/>
      </rPr>
      <t xml:space="preserve"> kasus kecelakaan yang disebabkan oleh pengemudi yang mabuk di jalan tol sepanjang tahun 2021, oleh karena itu sangat diperlukan himbauan dan sosialisasi tentang betapa berbahayanya mengemudi dalam keadaan mabuk.</t>
    </r>
  </si>
  <si>
    <t>Rekomendasi  for NHTSA</t>
  </si>
  <si>
    <t>Berkendara dalam kondisi mabuk tentu menimbulkan efek negatif seperti menurunnya konsentrasi, pengelihatan menjadi tidak fokus dan menurunnya Refleks dan daya ingat.  Adapun beberapa rekomendasi yang dapat dilakukan untuk mengurangi kecelakaan akibat pengguna mabuk adalah dengan cara : 
1.Memberikan sosialisasi tentang tata tertib lalulintas dilembaga2 pendidikan. 
2.Memberikan himbauan kepada masyarakat melalui berbagai media yang ada seperti media massa, digital, media sosial, baliho dan billboard yang dipasang didaerah2 rawan kecelakaan. 
3.Menindak tegas berdasarkan hukum yang berlaku.
Sehingga diharapkan melalui  dari 3 hal tersebut diharapkan dapat meminimalisasi angka kecelakaan yang disebabkan oleh pengemudi yang mabuk.</t>
  </si>
  <si>
    <t>SELECT land_use_name_clean, COUNT(consecutive_number) AS number_crash
FROM crash_pg4
WHERE land_use_name_clean IN ('Rural','Urban')
GROUP BY land_use_name_clean</t>
  </si>
  <si>
    <t>land_use_name_clean</t>
  </si>
  <si>
    <t>Urban</t>
  </si>
  <si>
    <t>Rural</t>
  </si>
  <si>
    <t>Pivot Table</t>
  </si>
  <si>
    <t>Land Use Name</t>
  </si>
  <si>
    <t>% Crash</t>
  </si>
  <si>
    <t>Data Visualitation</t>
  </si>
  <si>
    <t>Highlight</t>
  </si>
  <si>
    <r>
      <rPr>
        <rFont val="Arial"/>
        <color theme="1"/>
      </rPr>
      <t xml:space="preserve">Data dari seluruh angka kecelakaan di seluruh negara bagian US bahwa </t>
    </r>
    <r>
      <rPr>
        <rFont val="Arial"/>
        <b/>
        <color theme="1"/>
      </rPr>
      <t>57.5%</t>
    </r>
    <r>
      <rPr>
        <rFont val="Arial"/>
        <color theme="1"/>
      </rPr>
      <t xml:space="preserve"> kecelkaan berasal dari pengguna jalan tol daerah perkotaan yaitu sebanyak </t>
    </r>
    <r>
      <rPr>
        <rFont val="Arial"/>
        <b/>
        <color theme="1"/>
      </rPr>
      <t>20102</t>
    </r>
    <r>
      <rPr>
        <rFont val="Arial"/>
        <color theme="1"/>
      </rPr>
      <t xml:space="preserve"> kasus kecelakaan yang tercatat. Sedangkan untuk pengguna jalan tol daerah perdesaan yaitu sebesar </t>
    </r>
    <r>
      <rPr>
        <rFont val="Arial"/>
        <b/>
        <color theme="1"/>
      </rPr>
      <t>42.5%</t>
    </r>
    <r>
      <rPr>
        <rFont val="Arial"/>
        <color theme="1"/>
      </rPr>
      <t xml:space="preserve"> atau sebanyak </t>
    </r>
    <r>
      <rPr>
        <rFont val="Arial"/>
        <b/>
        <color theme="1"/>
      </rPr>
      <t>14829</t>
    </r>
    <r>
      <rPr>
        <rFont val="Arial"/>
        <color theme="1"/>
      </rPr>
      <t xml:space="preserve"> kasus kecelakaan yang tercatat.  </t>
    </r>
  </si>
  <si>
    <t>Data kecelakaan dari grafik menunjukkan bahwa kecelakaan di daerah perkotaaan lebih tinggi dibandingkan dengan daerah pedesaan, hal ini terjadi karena mobilitas mobilitas pengguna jalan jol di daerah perkotaan lebih padat dibanding dengan daerah jalan tol di daerah perdesaan. Adapun Rekomendasi yang dapat kami sarankan :
1. Membuat sosialisai kepedulian berkendera dengan selamat dan benar
2. Membuat rambu-rambu yang tepat di tempat yang sering terjadi kecelakaan</t>
  </si>
  <si>
    <t>with daily_crash as (
select to_char(state_timestamp_of_crash, 'Day') days, count(consecutive_number) total_crash
from crash_pg4
group by days
)
select *, case
when days ilike '%Sunday%' then 1
        when days ilike '%Monday%' then 2
        when days ilike '%Tuesday%' then 3
        when days ilike '%Wednesday%' then 4
        when days ilike '%Thursday%' then 5
        when days ilike '%Friday%' then 6
        when days ilike '%Saturday%' then 7
        end days_rank
from daily_crash
order by days_rank asc</t>
  </si>
  <si>
    <t>days</t>
  </si>
  <si>
    <t>days_rank</t>
  </si>
  <si>
    <t xml:space="preserve">Sunday   </t>
  </si>
  <si>
    <t xml:space="preserve">Monday   </t>
  </si>
  <si>
    <t xml:space="preserve">Tuesday  </t>
  </si>
  <si>
    <t>Wednesday</t>
  </si>
  <si>
    <t xml:space="preserve">Thursday </t>
  </si>
  <si>
    <t xml:space="preserve">Friday   </t>
  </si>
  <si>
    <t xml:space="preserve">Saturday </t>
  </si>
  <si>
    <r>
      <rPr>
        <rFont val="Arial"/>
        <color theme="1"/>
      </rPr>
      <t xml:space="preserve">Berdasarkan jumlah kecelakaan berdasarkan hari di dapatkan banyak terjadinya kecelakaan di jalan tol pada hari Minggu sepanjang 2021 dengan total crahed sebanyak </t>
    </r>
    <r>
      <rPr>
        <rFont val="Arial"/>
        <b/>
        <color theme="1"/>
      </rPr>
      <t xml:space="preserve">6339 </t>
    </r>
    <r>
      <rPr>
        <rFont val="Arial"/>
        <color theme="1"/>
      </rPr>
      <t xml:space="preserve">disusul hari Sabtu  sebanyak </t>
    </r>
    <r>
      <rPr>
        <rFont val="Arial"/>
        <b/>
        <color theme="1"/>
      </rPr>
      <t>5836</t>
    </r>
    <r>
      <rPr>
        <rFont val="Arial"/>
        <color theme="1"/>
      </rPr>
      <t xml:space="preserve"> kasus</t>
    </r>
    <r>
      <rPr>
        <rFont val="Arial"/>
        <b/>
        <color theme="1"/>
      </rPr>
      <t xml:space="preserve">. </t>
    </r>
    <r>
      <rPr>
        <rFont val="Arial"/>
        <color theme="1"/>
      </rPr>
      <t xml:space="preserve">Mungkin ini disebabkan karena banyaknya pengguna jalan berpergian untuk berlibur antar negara bagian menggunakan alternatif jalan tol dan kembali ke daerah masing-masing pasca liburan untuk kembali menjalankan rutinitasnya kembali di hari Senin. </t>
    </r>
  </si>
  <si>
    <t>Dari angka kasus sepanjang 2021 yang banyaknya terjadi di hari Minggu maka sebagai rekomendasi kepada NHTSA dapat meningkatkan pengawasan dan kolaborasi pengawasan dengan pihak tertentu terutama pada libur akhir pekan yang mana traffic di jalan tol sedang dalam kapasitas yang padat sehingga dapat mengantisipasi terjadinya bahaya serta resiko untuk mengurangi angka kecelakaan. :
1. Untuk dapat memberikan area rest yang lebih banyak tekhusus pada saat weekend
2. Mengedukasi pengguna jalan tol melalui media-media yang dapat di letakkan di area tertentu di jalan tol
3. Membuat sign seperti rambu-rambu batas kecepatan, terutama hal yang perlu di lakukan pada saat fatique
4. Memberikan penjagaan di tiap ruas KM jalan tol untuk petugas baik dari pihak tol maupun pihak-pihak diluar jalan tol untuk dapat melakukan pengawasan
5. Melakukan inpeksi rutin terhadap pengguna jalan tol yang kondisi kelayakaan kendaraan serta driver yang tidak fit yang rawan membuat terjadinya kecelakaan
6. Pemasangan lebih banyak teknologi yang dapat mengawasi seperti penggunaan CCTV atau speed sensor.</t>
  </si>
  <si>
    <t xml:space="preserve">select to_char(state_timestamp_of_crash, 'Month') month_crash, 
count(consecutive_number) total_crash,
sum(number_of_fatalities) total_fatality 
from crash_pg4
group by month_crash </t>
  </si>
  <si>
    <t>month_crash</t>
  </si>
  <si>
    <t>total_fatality</t>
  </si>
  <si>
    <t>% fatality</t>
  </si>
  <si>
    <t xml:space="preserve">May      </t>
  </si>
  <si>
    <t>September</t>
  </si>
  <si>
    <t xml:space="preserve">January  </t>
  </si>
  <si>
    <t xml:space="preserve">July     </t>
  </si>
  <si>
    <t xml:space="preserve">February </t>
  </si>
  <si>
    <t xml:space="preserve">December </t>
  </si>
  <si>
    <t xml:space="preserve">June     </t>
  </si>
  <si>
    <t xml:space="preserve">March    </t>
  </si>
  <si>
    <t xml:space="preserve">August   </t>
  </si>
  <si>
    <t xml:space="preserve">November </t>
  </si>
  <si>
    <t xml:space="preserve">October  </t>
  </si>
  <si>
    <t xml:space="preserve">April    </t>
  </si>
  <si>
    <t>Q1</t>
  </si>
  <si>
    <t>Total Crash_Q1</t>
  </si>
  <si>
    <t>Total Fatality_Q1</t>
  </si>
  <si>
    <t>% Fatality Q1</t>
  </si>
  <si>
    <t>Q4</t>
  </si>
  <si>
    <t>Total Crash_Q4</t>
  </si>
  <si>
    <t>Total Fatality_Q4</t>
  </si>
  <si>
    <t>% Fatality Q4</t>
  </si>
  <si>
    <t>Recomendasion for NTHSA</t>
  </si>
  <si>
    <r>
      <rPr>
        <rFont val="Arial"/>
        <color theme="1"/>
      </rPr>
      <t xml:space="preserve">Berdasarkan data diatas dapat dilihat bahwa total kecelakaan dan total kematian akibat kecelakaan tetinggi terjadi di Quartal Ke 4 yaitu di bulan Oktober hingga Desember dengan total angka kecelakaan dan total angka kematian Q4 masing-masing sebesar </t>
    </r>
    <r>
      <rPr>
        <rFont val="Arial"/>
        <b/>
        <color theme="1"/>
      </rPr>
      <t>9561</t>
    </r>
    <r>
      <rPr>
        <rFont val="Arial"/>
        <color theme="1"/>
      </rPr>
      <t xml:space="preserve"> dan </t>
    </r>
    <r>
      <rPr>
        <rFont val="Arial"/>
        <b/>
        <color theme="1"/>
      </rPr>
      <t>10364</t>
    </r>
    <r>
      <rPr>
        <rFont val="Arial"/>
        <color theme="1"/>
      </rPr>
      <t xml:space="preserve"> berbanding dengan total angka kecelakaan dan total angka kematian Q1 masing-masing </t>
    </r>
    <r>
      <rPr>
        <rFont val="Arial"/>
        <b/>
        <color theme="1"/>
      </rPr>
      <t>7225</t>
    </r>
    <r>
      <rPr>
        <rFont val="Arial"/>
        <color theme="1"/>
      </rPr>
      <t xml:space="preserve"> dan </t>
    </r>
    <r>
      <rPr>
        <rFont val="Arial"/>
        <b/>
        <color theme="1"/>
      </rPr>
      <t>7812</t>
    </r>
    <r>
      <rPr>
        <rFont val="Arial"/>
        <color theme="1"/>
      </rPr>
      <t xml:space="preserve">. Dengan angka kematian terbesar terjadi pada Q4 di bulan Oktober dengan total kematian akibat kecelakaan sebesar </t>
    </r>
    <r>
      <rPr>
        <rFont val="Arial"/>
        <b/>
        <color theme="1"/>
      </rPr>
      <t>3788</t>
    </r>
    <r>
      <rPr>
        <rFont val="Arial"/>
        <color theme="1"/>
      </rPr>
      <t xml:space="preserve"> dan angka kematian terbesar terjadi pada Q1 di bulan Februari akibat kecelakaan sebesar </t>
    </r>
    <r>
      <rPr>
        <rFont val="Arial"/>
        <b/>
        <color theme="1"/>
      </rPr>
      <t>2659</t>
    </r>
    <r>
      <rPr>
        <rFont val="Arial"/>
        <color theme="1"/>
      </rPr>
      <t xml:space="preserve">. Sedangkan percentasi angka kematian tertinggi terjadi di Q1 di bulan Februari dengan nilai </t>
    </r>
    <r>
      <rPr>
        <rFont val="Arial"/>
        <b/>
        <color theme="1"/>
      </rPr>
      <t>100.87%</t>
    </r>
    <r>
      <rPr>
        <rFont val="Arial"/>
        <color theme="1"/>
      </rPr>
      <t xml:space="preserve"> sedangkan percentasi angka kematian tertinggi yang terjadi di Q4 terjadi di bulan December dengan nilai </t>
    </r>
    <r>
      <rPr>
        <rFont val="Arial"/>
        <b/>
        <color theme="1"/>
      </rPr>
      <t>100.48%</t>
    </r>
    <r>
      <rPr>
        <rFont val="Arial"/>
        <color theme="1"/>
      </rPr>
      <t xml:space="preserve">. . Dengan total angka kecelakaan dan angka kematian sepanjang 2021 masing-masing </t>
    </r>
    <r>
      <rPr>
        <rFont val="Arial"/>
        <b/>
        <color theme="1"/>
      </rPr>
      <t>35413</t>
    </r>
    <r>
      <rPr>
        <rFont val="Arial"/>
        <color theme="1"/>
      </rPr>
      <t xml:space="preserve"> dan </t>
    </r>
    <r>
      <rPr>
        <rFont val="Arial"/>
        <b/>
        <color theme="1"/>
      </rPr>
      <t>38449</t>
    </r>
    <r>
      <rPr>
        <rFont val="Arial"/>
        <color theme="1"/>
      </rPr>
      <t xml:space="preserve"> dan persentasi total fatality sebesar </t>
    </r>
    <r>
      <rPr>
        <rFont val="Arial"/>
        <b/>
        <color theme="1"/>
      </rPr>
      <t>108.57%</t>
    </r>
    <r>
      <rPr>
        <rFont val="Arial"/>
        <color theme="1"/>
      </rPr>
      <t>. Maka dari itu dapat di simpulkan dari data ini total angka kecelakaan dan kematian terbesar terjadi pada Q4 di banding dengan Q1 sepanjang tahun 2021. Akhir tahun memang sering kali terjadi penumpukan kepadatan kendaraan di jalan tol mengingat banyaknya kepentingan pengguna di jalan tol ke tiap tujuannya.</t>
    </r>
  </si>
  <si>
    <t>Dari data yang di sajikan juga dapat diketahui bahwa persentasi angka kematian dari tiap kecelakaan masih diatas 99% per kecelakaan. Bahwa setiap satu kecelakaan terjadi di jalan tol maka setidaknya satu orang meninggal dari kecelakaan tersebut. Maka ini akan menjadi perhatian penting bahwa tingkat angka kecelakaan yang tinggi akan di barengi dengan tingkat angka kematian yang sepadan bahkan dapat lebih jika ini tidak menjadi pehatian NTHSA. Berdasarkan dari data-data Maka dari itu dapat di simpulkan dari data ini total angka kecelakaan dan kematian terbesar terjadi pada Q4 di banding dengan Q1 sepanjang tahun 2021. Akhir tahun memang sering kali terjadi penumpukan kepadatan kendaraan di jalan tol mengingat banyaknya kepentingan pengguna di jalan tol ke tiap tujuannya. Adapaun rekomendasi yang saya dapat berikan kepada NTHSA adalah sebagai berikut :
1. Untuk dapat memberikan area rest time
2. Menyiapkan personel medis dan alat-alat kesehatannya di titik-titik rawan terjadinya kecelakaan
3. Membuat sign seperti rambu-rambu batas kecepatan, hal yang di lakukan pada saat fatique untuk menghindari kecelakaan yang dapat menimbulkan kematian
4. Memberikan edukasi jika terjadi darurat cepat menghubungi petugas tol atau nomor darurat terkait lainnya
5. Memberikan edukasi terkait pentingnya kotak P3K sebagai tindakan medis sebelum datangnya petugas 
6. Memberikan penjagaan di tiap ruas KM jalan tol untuk petugas baik dari pihak tol maupun pihak-pihak diluar jalan tol untuk dapat melakukan pengawasan
7. Melakukan inpeksi rutin terhadap pengguna jalan tol yang kondisi kelayakaan kendaraan serta driver yang tidak fit yang rawan membuat terjadinya kecelakaan
8. Pemasangan lebih banyak teknologi yang dapat mengawasi seperti penggunaan CCTV atau speed sensor.</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</si>
</sst>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theme="1"/>
      <name val="Arial"/>
      <scheme val="minor"/>
    </font>
    <font/>
    <font>
      <sz val="10.0"/>
      <color theme="1"/>
      <name val="Arial"/>
      <scheme val="minor"/>
    </font>
    <font>
      <u/>
      <color theme="1"/>
      <name val="Arial"/>
      <scheme val="minor"/>
    </font>
    <font>
      <b/>
      <color theme="1"/>
      <name val="Arial"/>
      <scheme val="minor"/>
    </font>
    <font>
      <u/>
      <color theme="1"/>
      <name val="Arial"/>
      <scheme val="minor"/>
    </font>
    <font>
      <b/>
      <u/>
      <color theme="1"/>
      <name val="Arial"/>
    </font>
    <font>
      <color theme="1"/>
      <name val="Arial"/>
    </font>
    <font>
      <b/>
      <u/>
      <color theme="1"/>
      <name val="Arial"/>
    </font>
    <font>
      <b/>
      <u/>
      <color theme="1"/>
      <name val="Arial"/>
      <scheme val="minor"/>
    </font>
    <font>
      <b/>
      <i/>
      <u/>
      <sz val="11.0"/>
      <color rgb="FF1F1F1F"/>
      <name val="&quot;Google Sans&quot;"/>
    </font>
    <font>
      <sz val="10.0"/>
      <color rgb="FF202122"/>
      <name val="Arial"/>
    </font>
    <font>
      <b/>
      <i/>
      <u/>
      <sz val="11.0"/>
      <color theme="1"/>
      <name val="Arial"/>
      <scheme val="minor"/>
    </font>
    <font>
      <sz val="10.0"/>
      <color rgb="FF1F1F1F"/>
      <name val="Arial"/>
      <scheme val="minor"/>
    </font>
    <font>
      <color theme="0"/>
      <name val="Arial"/>
      <scheme val="minor"/>
    </font>
    <font>
      <sz val="10.0"/>
      <color theme="1"/>
      <name val="Arial"/>
    </font>
    <font>
      <sz val="10.0"/>
      <color rgb="FF1F1F1F"/>
      <name val="Arial"/>
    </font>
    <font>
      <b/>
      <color theme="1"/>
      <name val="Arial"/>
    </font>
    <font>
      <sz val="10.0"/>
      <color theme="1"/>
      <name val="&quot;Helvetica Neue&quot;"/>
    </font>
    <font>
      <sz val="9.0"/>
      <color theme="1"/>
      <name val="&quot;Helvetica Neue&quot;"/>
    </font>
    <font>
      <b/>
      <sz val="10.0"/>
      <color rgb="FF1F1F1F"/>
      <name val="&quot;Google Sans&quot;"/>
    </font>
    <font>
      <sz val="10.0"/>
      <color rgb="FF1F1F1F"/>
      <name val="&quot;Google Sans&quot;"/>
    </font>
  </fonts>
  <fills count="6">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1" numFmtId="0" xfId="0" applyAlignment="1" applyFont="1">
      <alignment readingOrder="0"/>
    </xf>
    <xf borderId="1" fillId="0" fontId="1" numFmtId="0" xfId="0" applyAlignment="1" applyBorder="1" applyFont="1">
      <alignment readingOrder="0" shrinkToFit="0" vertical="top"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readingOrder="0"/>
    </xf>
    <xf borderId="1" fillId="0" fontId="4" numFmtId="0" xfId="0" applyAlignment="1" applyBorder="1" applyFont="1">
      <alignment readingOrder="0"/>
    </xf>
    <xf borderId="2" fillId="0" fontId="1" numFmtId="0" xfId="0" applyBorder="1" applyFont="1"/>
    <xf borderId="3" fillId="0" fontId="1" numFmtId="0" xfId="0" applyBorder="1" applyFont="1"/>
    <xf borderId="4" fillId="0" fontId="1" numFmtId="0" xfId="0" applyAlignment="1" applyBorder="1" applyFont="1">
      <alignment readingOrder="0" shrinkToFit="0" vertical="top" wrapText="1"/>
    </xf>
    <xf borderId="0" fillId="0" fontId="5" numFmtId="0" xfId="0" applyAlignment="1" applyFont="1">
      <alignment readingOrder="0"/>
    </xf>
    <xf borderId="1" fillId="0" fontId="3" numFmtId="0" xfId="0" applyAlignment="1" applyBorder="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readingOrder="0"/>
    </xf>
    <xf borderId="0" fillId="3" fontId="1" numFmtId="0" xfId="0" applyAlignment="1" applyFill="1" applyFont="1">
      <alignment horizontal="center" readingOrder="0"/>
    </xf>
    <xf borderId="9" fillId="0" fontId="6" numFmtId="0" xfId="0" applyAlignment="1" applyBorder="1" applyFont="1">
      <alignment readingOrder="0"/>
    </xf>
    <xf borderId="10" fillId="0" fontId="2" numFmtId="0" xfId="0" applyBorder="1" applyFont="1"/>
    <xf borderId="11" fillId="0" fontId="2" numFmtId="0" xfId="0" applyBorder="1" applyFont="1"/>
    <xf borderId="0" fillId="0" fontId="1" numFmtId="0" xfId="0" applyAlignment="1" applyFont="1">
      <alignment readingOrder="0" shrinkToFit="0" vertical="top" wrapText="1"/>
    </xf>
    <xf borderId="0" fillId="0" fontId="7" numFmtId="0" xfId="0" applyAlignment="1" applyFont="1">
      <alignment readingOrder="0" shrinkToFit="0" vertical="bottom" wrapText="0"/>
    </xf>
    <xf borderId="0" fillId="0" fontId="8" numFmtId="0" xfId="0" applyAlignment="1" applyFont="1">
      <alignment vertical="bottom"/>
    </xf>
    <xf borderId="1" fillId="0" fontId="8" numFmtId="0" xfId="0" applyAlignment="1" applyBorder="1" applyFont="1">
      <alignment readingOrder="0" shrinkToFit="0" vertical="top" wrapText="1"/>
    </xf>
    <xf borderId="0" fillId="0" fontId="9" numFmtId="0" xfId="0" applyAlignment="1" applyFont="1">
      <alignment readingOrder="0" vertical="bottom"/>
    </xf>
    <xf borderId="0" fillId="0" fontId="10" numFmtId="0" xfId="0" applyAlignment="1" applyFont="1">
      <alignment readingOrder="0"/>
    </xf>
    <xf borderId="7" fillId="0" fontId="8" numFmtId="0" xfId="0" applyAlignment="1" applyBorder="1" applyFont="1">
      <alignment vertical="bottom"/>
    </xf>
    <xf borderId="12" fillId="3" fontId="8" numFmtId="0" xfId="0" applyAlignment="1" applyBorder="1" applyFont="1">
      <alignment horizontal="center" readingOrder="0" vertical="bottom"/>
    </xf>
    <xf borderId="8" fillId="3" fontId="8" numFmtId="0" xfId="0" applyAlignment="1" applyBorder="1" applyFont="1">
      <alignment horizontal="center" readingOrder="0" vertical="bottom"/>
    </xf>
    <xf borderId="12" fillId="0" fontId="8" numFmtId="0" xfId="0" applyAlignment="1" applyBorder="1" applyFont="1">
      <alignment readingOrder="0" vertical="bottom"/>
    </xf>
    <xf borderId="8" fillId="0" fontId="8" numFmtId="0" xfId="0" applyAlignment="1" applyBorder="1" applyFont="1">
      <alignment horizontal="right" readingOrder="0" vertical="bottom"/>
    </xf>
    <xf borderId="0" fillId="4" fontId="11" numFmtId="0" xfId="0" applyAlignment="1" applyFill="1" applyFont="1">
      <alignment readingOrder="0"/>
    </xf>
    <xf borderId="9" fillId="4" fontId="12" numFmtId="0" xfId="0" applyAlignment="1" applyBorder="1" applyFont="1">
      <alignment readingOrder="0" shrinkToFit="0" wrapText="1"/>
    </xf>
    <xf borderId="0" fillId="0" fontId="13" numFmtId="0" xfId="0" applyAlignment="1" applyFont="1">
      <alignment readingOrder="0"/>
    </xf>
    <xf borderId="9" fillId="0" fontId="1" numFmtId="0" xfId="0" applyAlignment="1" applyBorder="1" applyFont="1">
      <alignment readingOrder="0"/>
    </xf>
    <xf borderId="0" fillId="4" fontId="14" numFmtId="0" xfId="0" applyAlignment="1" applyFont="1">
      <alignment readingOrder="0"/>
    </xf>
    <xf borderId="0" fillId="5" fontId="15" numFmtId="0" xfId="0" applyAlignment="1" applyFill="1" applyFont="1">
      <alignment readingOrder="0"/>
    </xf>
    <xf borderId="0" fillId="0" fontId="1" numFmtId="0" xfId="0" applyAlignment="1" applyFont="1">
      <alignment readingOrder="0" shrinkToFit="0" wrapText="1"/>
    </xf>
    <xf borderId="0" fillId="0" fontId="16" numFmtId="0" xfId="0" applyAlignment="1" applyFont="1">
      <alignment readingOrder="0"/>
    </xf>
    <xf borderId="0" fillId="4" fontId="17" numFmtId="0" xfId="0" applyAlignment="1" applyFont="1">
      <alignment readingOrder="0"/>
    </xf>
    <xf borderId="0" fillId="0" fontId="15" numFmtId="0" xfId="0" applyAlignment="1" applyFont="1">
      <alignment readingOrder="0"/>
    </xf>
    <xf borderId="1" fillId="0" fontId="8" numFmtId="0" xfId="0" applyAlignment="1" applyBorder="1" applyFont="1">
      <alignment readingOrder="0" vertical="center"/>
    </xf>
    <xf borderId="0" fillId="0" fontId="8" numFmtId="0" xfId="0" applyFont="1"/>
    <xf borderId="0" fillId="5" fontId="5" numFmtId="0" xfId="0" applyAlignment="1" applyFont="1">
      <alignment readingOrder="0"/>
    </xf>
    <xf borderId="0" fillId="5" fontId="1" numFmtId="0" xfId="0" applyFont="1"/>
    <xf borderId="0" fillId="5" fontId="1" numFmtId="0" xfId="0" applyAlignment="1" applyFont="1">
      <alignment readingOrder="0"/>
    </xf>
    <xf borderId="0" fillId="0" fontId="1" numFmtId="0" xfId="0" applyAlignment="1" applyFont="1">
      <alignment readingOrder="0"/>
    </xf>
    <xf borderId="0" fillId="0" fontId="18" numFmtId="0" xfId="0" applyAlignment="1" applyFont="1">
      <alignment vertical="bottom"/>
    </xf>
    <xf borderId="0" fillId="4" fontId="8" numFmtId="0" xfId="0" applyAlignment="1" applyFont="1">
      <alignment vertical="bottom"/>
    </xf>
    <xf borderId="1" fillId="0" fontId="19" numFmtId="0" xfId="0" applyAlignment="1" applyBorder="1" applyFont="1">
      <alignment readingOrder="0" shrinkToFit="0" vertical="top" wrapText="1"/>
    </xf>
    <xf borderId="0" fillId="0" fontId="8" numFmtId="10" xfId="0" applyAlignment="1" applyFont="1" applyNumberFormat="1">
      <alignment vertical="bottom"/>
    </xf>
    <xf borderId="0" fillId="0" fontId="20" numFmtId="0" xfId="0" applyAlignment="1" applyFont="1">
      <alignment vertical="bottom"/>
    </xf>
    <xf borderId="0" fillId="0" fontId="20" numFmtId="0" xfId="0" applyAlignment="1" applyFont="1">
      <alignment shrinkToFit="0" vertical="bottom" wrapText="0"/>
    </xf>
    <xf borderId="0" fillId="0" fontId="8" numFmtId="9" xfId="0" applyAlignment="1" applyFont="1" applyNumberFormat="1">
      <alignment vertical="bottom"/>
    </xf>
    <xf borderId="1" fillId="4" fontId="8" numFmtId="0" xfId="0" applyAlignment="1" applyBorder="1" applyFont="1">
      <alignment readingOrder="0" vertical="bottom"/>
    </xf>
    <xf borderId="2" fillId="0" fontId="8" numFmtId="0" xfId="0" applyAlignment="1" applyBorder="1" applyFont="1">
      <alignment horizontal="right" vertical="bottom"/>
    </xf>
    <xf borderId="3" fillId="4" fontId="8" numFmtId="0" xfId="0" applyAlignment="1" applyBorder="1" applyFont="1">
      <alignment horizontal="right" readingOrder="0" vertical="bottom"/>
    </xf>
    <xf borderId="4" fillId="4" fontId="8" numFmtId="0" xfId="0" applyAlignment="1" applyBorder="1" applyFont="1">
      <alignment horizontal="right" vertical="bottom"/>
    </xf>
    <xf borderId="0" fillId="0" fontId="8" numFmtId="0" xfId="0" applyAlignment="1" applyFont="1">
      <alignment horizontal="right" vertical="bottom"/>
    </xf>
    <xf borderId="5" fillId="0" fontId="8" numFmtId="0" xfId="0" applyAlignment="1" applyBorder="1" applyFont="1">
      <alignment horizontal="right" vertical="bottom"/>
    </xf>
    <xf borderId="6" fillId="0" fontId="8" numFmtId="10" xfId="0" applyAlignment="1" applyBorder="1" applyFont="1" applyNumberFormat="1">
      <alignment horizontal="right" vertical="bottom"/>
    </xf>
    <xf borderId="7" fillId="0" fontId="8" numFmtId="10" xfId="0" applyAlignment="1" applyBorder="1" applyFont="1" applyNumberFormat="1">
      <alignment horizontal="right" vertical="bottom"/>
    </xf>
    <xf borderId="8" fillId="0" fontId="8" numFmtId="9" xfId="0" applyAlignment="1" applyBorder="1" applyFont="1" applyNumberFormat="1">
      <alignment horizontal="right" vertical="bottom"/>
    </xf>
    <xf borderId="0" fillId="0" fontId="18" numFmtId="0" xfId="0" applyAlignment="1" applyFont="1">
      <alignment readingOrder="0" vertical="bottom"/>
    </xf>
    <xf borderId="0" fillId="0" fontId="8" numFmtId="0" xfId="0" applyAlignment="1" applyFont="1">
      <alignment readingOrder="0" vertical="bottom"/>
    </xf>
    <xf borderId="0" fillId="4" fontId="21" numFmtId="0" xfId="0" applyAlignment="1" applyFont="1">
      <alignment readingOrder="0"/>
    </xf>
    <xf borderId="1" fillId="4" fontId="22" numFmtId="0" xfId="0" applyAlignment="1" applyBorder="1" applyFont="1">
      <alignment readingOrder="0" shrinkToFit="0" vertical="top" wrapText="1"/>
    </xf>
    <xf borderId="13" fillId="3" fontId="8" numFmtId="0" xfId="0" applyAlignment="1" applyBorder="1" applyFont="1">
      <alignment horizontal="center" readingOrder="0" vertical="bottom"/>
    </xf>
    <xf borderId="0" fillId="0" fontId="8" numFmtId="0" xfId="0" applyAlignment="1" applyFont="1">
      <alignment horizontal="right" readingOrder="0" vertical="bottom"/>
    </xf>
    <xf borderId="13" fillId="0" fontId="8" numFmtId="0" xfId="0" applyAlignment="1" applyBorder="1" applyFont="1">
      <alignment horizontal="right" readingOrder="0" vertical="bottom"/>
    </xf>
    <xf borderId="0" fillId="0" fontId="8" numFmtId="9" xfId="0" applyAlignment="1" applyFont="1" applyNumberFormat="1">
      <alignment horizontal="right" vertical="bottom"/>
    </xf>
    <xf borderId="1" fillId="0" fontId="1" numFmtId="0" xfId="0" applyAlignment="1" applyBorder="1" applyFont="1">
      <alignment readingOrder="0" shrinkToFit="0" wrapText="1"/>
    </xf>
    <xf borderId="13" fillId="3" fontId="1" numFmtId="0" xfId="0" applyAlignment="1" applyBorder="1" applyFont="1">
      <alignment horizontal="center" readingOrder="0"/>
    </xf>
    <xf borderId="13" fillId="0" fontId="1" numFmtId="0" xfId="0" applyAlignment="1" applyBorder="1" applyFont="1">
      <alignment readingOrder="0"/>
    </xf>
    <xf borderId="0" fillId="0" fontId="1" numFmtId="10" xfId="0" applyFont="1" applyNumberFormat="1"/>
    <xf borderId="0" fillId="0" fontId="1" numFmtId="0" xfId="0" applyFont="1"/>
    <xf borderId="6" fillId="0" fontId="1" numFmtId="0" xfId="0" applyAlignment="1" applyBorder="1" applyFont="1">
      <alignment readingOrder="0" shrinkToFit="0" wrapText="1"/>
    </xf>
    <xf borderId="7" fillId="0" fontId="1" numFmtId="0" xfId="0" applyAlignment="1" applyBorder="1" applyFont="1">
      <alignment readingOrder="0" shrinkToFit="0" wrapText="1"/>
    </xf>
    <xf borderId="8" fillId="0" fontId="1" numFmtId="0" xfId="0" applyAlignment="1" applyBorder="1" applyFont="1">
      <alignment readingOrder="0" shrinkToFit="0" wrapText="1"/>
    </xf>
    <xf borderId="1" fillId="0" fontId="1" numFmtId="0" xfId="0" applyAlignment="1" applyBorder="1" applyFont="1">
      <alignment horizontal="left" readingOrder="0" shrinkToFit="0" vertical="center" wrapText="1"/>
    </xf>
    <xf borderId="0" fillId="3" fontId="1" numFmtId="0" xfId="0" applyAlignment="1" applyFont="1">
      <alignment readingOrder="0"/>
    </xf>
    <xf borderId="0" fillId="0" fontId="5" numFmtId="0" xfId="0" applyFont="1"/>
    <xf borderId="0" fillId="0" fontId="5" numFmtId="10" xfId="0" applyFont="1" applyNumberFormat="1"/>
    <xf borderId="1" fillId="0" fontId="1" numFmtId="0" xfId="0" applyAlignment="1" applyBorder="1" applyFont="1">
      <alignment horizontal="left" readingOrder="0"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5.xml"/><Relationship Id="rId22" Type="http://schemas.openxmlformats.org/officeDocument/2006/relationships/pivotCacheDefinition" Target="pivotCache/pivotCacheDefinition7.xml"/><Relationship Id="rId21" Type="http://schemas.openxmlformats.org/officeDocument/2006/relationships/pivotCacheDefinition" Target="pivotCache/pivotCacheDefinition6.xml"/><Relationship Id="rId24" Type="http://schemas.openxmlformats.org/officeDocument/2006/relationships/pivotCacheDefinition" Target="pivotCache/pivotCacheDefinition9.xml"/><Relationship Id="rId23" Type="http://schemas.openxmlformats.org/officeDocument/2006/relationships/pivotCacheDefinition" Target="pivotCache/pivotCacheDefinition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11.xml"/><Relationship Id="rId25" Type="http://schemas.openxmlformats.org/officeDocument/2006/relationships/pivotCacheDefinition" Target="pivotCache/pivotCacheDefinition10.xml"/><Relationship Id="rId28" Type="http://schemas.openxmlformats.org/officeDocument/2006/relationships/pivotCacheDefinition" Target="pivotCache/pivotCacheDefinition13.xml"/><Relationship Id="rId27" Type="http://schemas.openxmlformats.org/officeDocument/2006/relationships/pivotCacheDefinition" Target="pivotCache/pivotCacheDefinition12.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pivotCacheDefinition" Target="pivotCache/pivotCacheDefinition14.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16.xml"/><Relationship Id="rId30" Type="http://schemas.openxmlformats.org/officeDocument/2006/relationships/pivotCacheDefinition" Target="pivotCache/pivotCacheDefinition15.xml"/><Relationship Id="rId11" Type="http://schemas.openxmlformats.org/officeDocument/2006/relationships/worksheet" Target="worksheets/sheet7.xml"/><Relationship Id="rId33" Type="http://schemas.openxmlformats.org/officeDocument/2006/relationships/pivotCacheDefinition" Target="pivotCache/pivotCacheDefinition18.xml"/><Relationship Id="rId10" Type="http://schemas.openxmlformats.org/officeDocument/2006/relationships/worksheet" Target="worksheets/sheet6.xml"/><Relationship Id="rId32" Type="http://schemas.openxmlformats.org/officeDocument/2006/relationships/pivotCacheDefinition" Target="pivotCache/pivotCacheDefinition17.xml"/><Relationship Id="rId13" Type="http://schemas.openxmlformats.org/officeDocument/2006/relationships/worksheet" Target="worksheets/sheet9.xml"/><Relationship Id="rId35" Type="http://schemas.openxmlformats.org/officeDocument/2006/relationships/pivotCacheDefinition" Target="pivotCache/pivotCacheDefinition20.xml"/><Relationship Id="rId12" Type="http://schemas.openxmlformats.org/officeDocument/2006/relationships/worksheet" Target="worksheets/sheet8.xml"/><Relationship Id="rId34" Type="http://schemas.openxmlformats.org/officeDocument/2006/relationships/pivotCacheDefinition" Target="pivotCache/pivotCacheDefinition19.xml"/><Relationship Id="rId15" Type="http://schemas.openxmlformats.org/officeDocument/2006/relationships/worksheet" Target="worksheets/sheet11.xml"/><Relationship Id="rId37" Type="http://schemas.openxmlformats.org/officeDocument/2006/relationships/pivotCacheDefinition" Target="pivotCache/pivotCacheDefinition22.xml"/><Relationship Id="rId14" Type="http://schemas.openxmlformats.org/officeDocument/2006/relationships/worksheet" Target="worksheets/sheet10.xml"/><Relationship Id="rId36" Type="http://schemas.openxmlformats.org/officeDocument/2006/relationships/pivotCacheDefinition" Target="pivotCache/pivotCacheDefinition21.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38" Type="http://schemas.openxmlformats.org/officeDocument/2006/relationships/pivotCacheDefinition" Target="pivotCache/pivotCacheDefinition23.xml"/><Relationship Id="rId19" Type="http://schemas.openxmlformats.org/officeDocument/2006/relationships/pivotCacheDefinition" Target="pivotCache/pivotCacheDefinition4.xml"/><Relationship Id="rId18"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Jumlah Kecelakaan Berdasarkan Iklim</a:t>
            </a:r>
          </a:p>
        </c:rich>
      </c:tx>
      <c:layout>
        <c:manualLayout>
          <c:xMode val="edge"/>
          <c:yMode val="edge"/>
          <c:x val="0.03091666666666667"/>
          <c:y val="0.023045822102425877"/>
        </c:manualLayout>
      </c:layout>
      <c:overlay val="0"/>
    </c:title>
    <c:plotArea>
      <c:layout>
        <c:manualLayout>
          <c:xMode val="edge"/>
          <c:yMode val="edge"/>
          <c:x val="0.14653190104166666"/>
          <c:y val="0.1938454627133872"/>
          <c:w val="0.8225514322916667"/>
          <c:h val="0.5165768194070081"/>
        </c:manualLayout>
      </c:layout>
      <c:barChart>
        <c:barDir val="col"/>
        <c:grouping val="stacked"/>
        <c:ser>
          <c:idx val="0"/>
          <c:order val="0"/>
          <c:tx>
            <c:strRef>
              <c:f>NO_1!$E$1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NO_1!$D$2:$D$14</c:f>
            </c:strRef>
          </c:cat>
          <c:val>
            <c:numRef>
              <c:f>NO_1!$E$2:$E$14</c:f>
              <c:numCache/>
            </c:numRef>
          </c:val>
        </c:ser>
        <c:overlap val="100"/>
        <c:axId val="541524049"/>
        <c:axId val="21529136"/>
      </c:barChart>
      <c:catAx>
        <c:axId val="5415240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Kondisi Iklim</a:t>
                </a:r>
              </a:p>
            </c:rich>
          </c:tx>
          <c:layout>
            <c:manualLayout>
              <c:xMode val="edge"/>
              <c:yMode val="edge"/>
              <c:x val="0.09653190104166666"/>
              <c:y val="0.927743539766769"/>
            </c:manualLayout>
          </c:layout>
          <c:overlay val="0"/>
        </c:title>
        <c:numFmt formatCode="General" sourceLinked="1"/>
        <c:majorTickMark val="none"/>
        <c:minorTickMark val="none"/>
        <c:spPr/>
        <c:txPr>
          <a:bodyPr/>
          <a:lstStyle/>
          <a:p>
            <a:pPr lvl="0">
              <a:defRPr b="0">
                <a:solidFill>
                  <a:srgbClr val="000000"/>
                </a:solidFill>
                <a:latin typeface="+mn-lt"/>
              </a:defRPr>
            </a:pPr>
          </a:p>
        </c:txPr>
        <c:crossAx val="21529136"/>
      </c:catAx>
      <c:valAx>
        <c:axId val="215291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 Kecelakaan</a:t>
                </a:r>
              </a:p>
            </c:rich>
          </c:tx>
          <c:layout>
            <c:manualLayout>
              <c:xMode val="edge"/>
              <c:yMode val="edge"/>
              <c:x val="0.03091666666666667"/>
              <c:y val="0.08602875112309072"/>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152404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Jumlah Kecelakaan Pada Persimpangan</a:t>
            </a:r>
          </a:p>
        </c:rich>
      </c:tx>
      <c:overlay val="0"/>
    </c:title>
    <c:plotArea>
      <c:layout/>
      <c:barChart>
        <c:barDir val="col"/>
        <c:ser>
          <c:idx val="0"/>
          <c:order val="0"/>
          <c:tx>
            <c:strRef>
              <c:f>NO_1!$E$19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NO_1!$D$20:$D$30</c:f>
            </c:strRef>
          </c:cat>
          <c:val>
            <c:numRef>
              <c:f>NO_1!$E$20:$E$30</c:f>
              <c:numCache/>
            </c:numRef>
          </c:val>
        </c:ser>
        <c:axId val="1443393911"/>
        <c:axId val="1011994078"/>
      </c:barChart>
      <c:catAx>
        <c:axId val="1443393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Tipe Persimpangan</a:t>
                </a:r>
              </a:p>
            </c:rich>
          </c:tx>
          <c:layout>
            <c:manualLayout>
              <c:xMode val="edge"/>
              <c:yMode val="edge"/>
              <c:x val="0.07153190104166667"/>
              <c:y val="0.917654986522911"/>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011994078"/>
      </c:catAx>
      <c:valAx>
        <c:axId val="1011994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 Kecelakaan</a:t>
                </a:r>
              </a:p>
            </c:rich>
          </c:tx>
          <c:layout>
            <c:manualLayout>
              <c:xMode val="edge"/>
              <c:yMode val="edge"/>
              <c:x val="0.03091666666666667"/>
              <c:y val="0.08333333333333333"/>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339391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Jumlah Kecelakaan Berdasarkan Kondisi Hari</a:t>
            </a:r>
          </a:p>
        </c:rich>
      </c:tx>
      <c:layout>
        <c:manualLayout>
          <c:xMode val="edge"/>
          <c:yMode val="edge"/>
          <c:x val="0.03091666666666667"/>
          <c:y val="0.03652291105121294"/>
        </c:manualLayout>
      </c:layout>
      <c:overlay val="0"/>
    </c:title>
    <c:plotArea>
      <c:layout/>
      <c:barChart>
        <c:barDir val="col"/>
        <c:ser>
          <c:idx val="0"/>
          <c:order val="0"/>
          <c:tx>
            <c:strRef>
              <c:f>NO_1!$E$38</c:f>
            </c:strRef>
          </c:tx>
          <c:spPr>
            <a:solidFill>
              <a:schemeClr val="accent1"/>
            </a:solidFill>
            <a:ln cmpd="sng">
              <a:solidFill>
                <a:srgbClr val="000000"/>
              </a:solidFill>
            </a:ln>
          </c:spPr>
          <c:dPt>
            <c:idx val="1"/>
          </c:dPt>
          <c:dLbls>
            <c:numFmt formatCode="General" sourceLinked="1"/>
            <c:txPr>
              <a:bodyPr/>
              <a:lstStyle/>
              <a:p>
                <a:pPr lvl="0">
                  <a:defRPr/>
                </a:pPr>
              </a:p>
            </c:txPr>
            <c:showLegendKey val="0"/>
            <c:showVal val="1"/>
            <c:showCatName val="0"/>
            <c:showSerName val="0"/>
            <c:showPercent val="0"/>
            <c:showBubbleSize val="0"/>
          </c:dLbls>
          <c:cat>
            <c:strRef>
              <c:f>NO_1!$D$39:$D$47</c:f>
            </c:strRef>
          </c:cat>
          <c:val>
            <c:numRef>
              <c:f>NO_1!$E$39:$E$47</c:f>
              <c:numCache/>
            </c:numRef>
          </c:val>
        </c:ser>
        <c:axId val="651461728"/>
        <c:axId val="1697291845"/>
      </c:barChart>
      <c:catAx>
        <c:axId val="6514617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Kondisi Hari</a:t>
                </a:r>
              </a:p>
            </c:rich>
          </c:tx>
          <c:layout>
            <c:manualLayout>
              <c:xMode val="edge"/>
              <c:yMode val="edge"/>
              <c:x val="0.14653190104166666"/>
              <c:y val="0.9041778975741239"/>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697291845"/>
      </c:catAx>
      <c:valAx>
        <c:axId val="1697291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 Kecelakaan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146172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Kondisi Kecelakaan</a:t>
            </a:r>
          </a:p>
        </c:rich>
      </c:tx>
      <c:overlay val="0"/>
    </c:title>
    <c:plotArea>
      <c:layout/>
      <c:barChart>
        <c:barDir val="col"/>
        <c:ser>
          <c:idx val="0"/>
          <c:order val="0"/>
          <c:tx>
            <c:strRef>
              <c:f>NO_1!$E$56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NO_1!$D$57:$D$67</c:f>
            </c:strRef>
          </c:cat>
          <c:val>
            <c:numRef>
              <c:f>NO_1!$E$57:$E$67</c:f>
              <c:numCache/>
            </c:numRef>
          </c:val>
        </c:ser>
        <c:axId val="1768055843"/>
        <c:axId val="955859162"/>
      </c:barChart>
      <c:catAx>
        <c:axId val="1768055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Kondisi Kecelakaan</a:t>
                </a:r>
              </a:p>
            </c:rich>
          </c:tx>
          <c:overlay val="0"/>
        </c:title>
        <c:numFmt formatCode="General" sourceLinked="1"/>
        <c:majorTickMark val="none"/>
        <c:minorTickMark val="none"/>
        <c:spPr/>
        <c:txPr>
          <a:bodyPr/>
          <a:lstStyle/>
          <a:p>
            <a:pPr lvl="0">
              <a:defRPr b="0">
                <a:solidFill>
                  <a:srgbClr val="000000"/>
                </a:solidFill>
                <a:latin typeface="+mn-lt"/>
              </a:defRPr>
            </a:pPr>
          </a:p>
        </c:txPr>
        <c:crossAx val="955859162"/>
      </c:catAx>
      <c:valAx>
        <c:axId val="955859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 Kecelakaan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805584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vs Atmospheric Condition</a:t>
            </a:r>
          </a:p>
        </c:rich>
      </c:tx>
      <c:overlay val="0"/>
    </c:title>
    <c:plotArea>
      <c:layout/>
      <c:barChart>
        <c:barDir val="bar"/>
        <c:ser>
          <c:idx val="0"/>
          <c:order val="0"/>
          <c:tx>
            <c:strRef>
              <c:f>'NO 1'!$B$22</c:f>
            </c:strRef>
          </c:tx>
          <c:spPr>
            <a:solidFill>
              <a:schemeClr val="accent1"/>
            </a:solidFill>
            <a:ln cmpd="sng">
              <a:solidFill>
                <a:srgbClr val="000000"/>
              </a:solidFill>
            </a:ln>
          </c:spPr>
          <c:dPt>
            <c:idx val="0"/>
            <c:spPr>
              <a:solidFill>
                <a:srgbClr val="FF00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'NO 1'!$A$23:$A$33</c:f>
            </c:strRef>
          </c:cat>
          <c:val>
            <c:numRef>
              <c:f>'NO 1'!$B$23:$B$33</c:f>
              <c:numCache/>
            </c:numRef>
          </c:val>
        </c:ser>
        <c:axId val="449205506"/>
        <c:axId val="1428948903"/>
      </c:barChart>
      <c:catAx>
        <c:axId val="44920550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28948903"/>
      </c:catAx>
      <c:valAx>
        <c:axId val="14289489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Crash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9205506"/>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vs Type Intersection</a:t>
            </a:r>
          </a:p>
        </c:rich>
      </c:tx>
      <c:overlay val="0"/>
    </c:title>
    <c:plotArea>
      <c:layout/>
      <c:barChart>
        <c:barDir val="bar"/>
        <c:ser>
          <c:idx val="0"/>
          <c:order val="0"/>
          <c:tx>
            <c:strRef>
              <c:f>'NO 1'!$B$51</c:f>
            </c:strRef>
          </c:tx>
          <c:spPr>
            <a:solidFill>
              <a:schemeClr val="accent1"/>
            </a:solidFill>
            <a:ln cmpd="sng">
              <a:solidFill>
                <a:srgbClr val="000000"/>
              </a:solidFill>
            </a:ln>
          </c:spPr>
          <c:dPt>
            <c:idx val="0"/>
            <c:spPr>
              <a:solidFill>
                <a:srgbClr val="FF0000"/>
              </a:solidFill>
              <a:ln cmpd="sng">
                <a:solidFill>
                  <a:srgbClr val="000000"/>
                </a:solidFill>
              </a:ln>
            </c:spPr>
          </c:dPt>
          <c:dPt>
            <c:idx val="2"/>
          </c:dPt>
          <c:dLbls>
            <c:numFmt formatCode="General" sourceLinked="1"/>
            <c:txPr>
              <a:bodyPr/>
              <a:lstStyle/>
              <a:p>
                <a:pPr lvl="0">
                  <a:defRPr/>
                </a:pPr>
              </a:p>
            </c:txPr>
            <c:showLegendKey val="0"/>
            <c:showVal val="1"/>
            <c:showCatName val="0"/>
            <c:showSerName val="0"/>
            <c:showPercent val="0"/>
            <c:showBubbleSize val="0"/>
          </c:dLbls>
          <c:cat>
            <c:strRef>
              <c:f>'NO 1'!$A$52:$A$60</c:f>
            </c:strRef>
          </c:cat>
          <c:val>
            <c:numRef>
              <c:f>'NO 1'!$B$52:$B$60</c:f>
              <c:numCache/>
            </c:numRef>
          </c:val>
        </c:ser>
        <c:axId val="1413981048"/>
        <c:axId val="599742845"/>
      </c:barChart>
      <c:catAx>
        <c:axId val="14139810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9742845"/>
      </c:catAx>
      <c:valAx>
        <c:axId val="5997428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Crash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3981048"/>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vs Light Condition</a:t>
            </a:r>
          </a:p>
        </c:rich>
      </c:tx>
      <c:overlay val="0"/>
    </c:title>
    <c:plotArea>
      <c:layout/>
      <c:barChart>
        <c:barDir val="bar"/>
        <c:ser>
          <c:idx val="0"/>
          <c:order val="0"/>
          <c:tx>
            <c:strRef>
              <c:f>'NO 1'!$B$78</c:f>
            </c:strRef>
          </c:tx>
          <c:spPr>
            <a:solidFill>
              <a:schemeClr val="accent1"/>
            </a:solidFill>
            <a:ln cmpd="sng">
              <a:solidFill>
                <a:srgbClr val="000000"/>
              </a:solidFill>
            </a:ln>
          </c:spPr>
          <c:dPt>
            <c:idx val="0"/>
            <c:spPr>
              <a:solidFill>
                <a:srgbClr val="FF00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'NO 1'!$A$79:$A$85</c:f>
            </c:strRef>
          </c:cat>
          <c:val>
            <c:numRef>
              <c:f>'NO 1'!$B$79:$B$85</c:f>
              <c:numCache/>
            </c:numRef>
          </c:val>
        </c:ser>
        <c:axId val="1961960083"/>
        <c:axId val="477601472"/>
      </c:barChart>
      <c:catAx>
        <c:axId val="19619600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7601472"/>
      </c:catAx>
      <c:valAx>
        <c:axId val="4776014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Crash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1960083"/>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vs Manner of Cillision</a:t>
            </a:r>
          </a:p>
        </c:rich>
      </c:tx>
      <c:overlay val="0"/>
    </c:title>
    <c:plotArea>
      <c:layout/>
      <c:barChart>
        <c:barDir val="bar"/>
        <c:ser>
          <c:idx val="0"/>
          <c:order val="0"/>
          <c:tx>
            <c:strRef>
              <c:f>'NO 1'!$B$106</c:f>
            </c:strRef>
          </c:tx>
          <c:spPr>
            <a:solidFill>
              <a:schemeClr val="accent1"/>
            </a:solidFill>
            <a:ln cmpd="sng">
              <a:solidFill>
                <a:srgbClr val="000000"/>
              </a:solidFill>
            </a:ln>
          </c:spPr>
          <c:dPt>
            <c:idx val="0"/>
            <c:spPr>
              <a:solidFill>
                <a:srgbClr val="FF0000"/>
              </a:solidFill>
              <a:ln cmpd="sng">
                <a:solidFill>
                  <a:srgbClr val="000000"/>
                </a:solidFill>
              </a:ln>
            </c:spPr>
          </c:dPt>
          <c:dPt>
            <c:idx val="2"/>
          </c:dPt>
          <c:dLbls>
            <c:numFmt formatCode="General" sourceLinked="1"/>
            <c:txPr>
              <a:bodyPr/>
              <a:lstStyle/>
              <a:p>
                <a:pPr lvl="0">
                  <a:defRPr/>
                </a:pPr>
              </a:p>
            </c:txPr>
            <c:showLegendKey val="0"/>
            <c:showVal val="1"/>
            <c:showCatName val="0"/>
            <c:showSerName val="0"/>
            <c:showPercent val="0"/>
            <c:showBubbleSize val="0"/>
          </c:dLbls>
          <c:cat>
            <c:strRef>
              <c:f>'NO 1'!$A$107:$A$115</c:f>
            </c:strRef>
          </c:cat>
          <c:val>
            <c:numRef>
              <c:f>'NO 1'!$B$107:$B$115</c:f>
              <c:numCache/>
            </c:numRef>
          </c:val>
        </c:ser>
        <c:axId val="585450011"/>
        <c:axId val="1389222141"/>
      </c:barChart>
      <c:catAx>
        <c:axId val="5854500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9222141"/>
      </c:catAx>
      <c:valAx>
        <c:axId val="13892221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Crash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5450011"/>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State Name vs Total Crash</a:t>
            </a:r>
          </a:p>
        </c:rich>
      </c:tx>
      <c:overlay val="0"/>
    </c:title>
    <c:plotArea>
      <c:layout/>
      <c:barChart>
        <c:barDir val="bar"/>
        <c:ser>
          <c:idx val="0"/>
          <c:order val="0"/>
          <c:tx>
            <c:strRef>
              <c:f>'NO 2'!$L$9</c:f>
            </c:strRef>
          </c:tx>
          <c:spPr>
            <a:solidFill>
              <a:schemeClr val="accent1"/>
            </a:solidFill>
            <a:ln cmpd="sng">
              <a:solidFill>
                <a:srgbClr val="000000"/>
              </a:solidFill>
            </a:ln>
          </c:spPr>
          <c:dPt>
            <c:idx val="0"/>
            <c:spPr>
              <a:solidFill>
                <a:srgbClr val="FF00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'NO 2'!$K$10:$K$19</c:f>
            </c:strRef>
          </c:cat>
          <c:val>
            <c:numRef>
              <c:f>'NO 2'!$L$10:$L$19</c:f>
              <c:numCache/>
            </c:numRef>
          </c:val>
        </c:ser>
        <c:axId val="98271443"/>
        <c:axId val="2075547816"/>
      </c:barChart>
      <c:catAx>
        <c:axId val="982714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75547816"/>
      </c:catAx>
      <c:valAx>
        <c:axId val="20755478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Angka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271443"/>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total_crash vs. hour</a:t>
            </a:r>
          </a:p>
        </c:rich>
      </c:tx>
      <c:overlay val="0"/>
    </c:title>
    <c:plotArea>
      <c:layout/>
      <c:barChart>
        <c:barDir val="col"/>
        <c:ser>
          <c:idx val="0"/>
          <c:order val="0"/>
          <c:tx>
            <c:strRef>
              <c:f>NO_3!$E$10</c:f>
            </c:strRef>
          </c:tx>
          <c:spPr>
            <a:solidFill>
              <a:schemeClr val="accent1"/>
            </a:solidFill>
            <a:ln cmpd="sng">
              <a:solidFill>
                <a:srgbClr val="000000"/>
              </a:solidFill>
            </a:ln>
          </c:spPr>
          <c:cat>
            <c:strRef>
              <c:f>NO_3!$D$11:$D$35</c:f>
            </c:strRef>
          </c:cat>
          <c:val>
            <c:numRef>
              <c:f>NO_3!$E$11:$E$35</c:f>
              <c:numCache/>
            </c:numRef>
          </c:val>
        </c:ser>
        <c:axId val="1307216633"/>
        <c:axId val="1979142078"/>
      </c:barChart>
      <c:catAx>
        <c:axId val="1307216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a:t>
                </a:r>
              </a:p>
            </c:rich>
          </c:tx>
          <c:overlay val="0"/>
        </c:title>
        <c:numFmt formatCode="General" sourceLinked="1"/>
        <c:majorTickMark val="none"/>
        <c:minorTickMark val="none"/>
        <c:spPr/>
        <c:txPr>
          <a:bodyPr/>
          <a:lstStyle/>
          <a:p>
            <a:pPr lvl="0">
              <a:defRPr b="0">
                <a:solidFill>
                  <a:srgbClr val="000000"/>
                </a:solidFill>
                <a:latin typeface="+mn-lt"/>
              </a:defRPr>
            </a:pPr>
          </a:p>
        </c:txPr>
        <c:crossAx val="1979142078"/>
      </c:catAx>
      <c:valAx>
        <c:axId val="1979142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total_crash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721663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Hourly</a:t>
            </a:r>
          </a:p>
        </c:rich>
      </c:tx>
      <c:overlay val="0"/>
    </c:title>
    <c:plotArea>
      <c:layout/>
      <c:lineChart>
        <c:varyColors val="0"/>
        <c:ser>
          <c:idx val="0"/>
          <c:order val="0"/>
          <c:tx>
            <c:strRef>
              <c:f>'NO 3'!$E$10</c:f>
            </c:strRef>
          </c:tx>
          <c:spPr>
            <a:ln cmpd="sng">
              <a:solidFill>
                <a:srgbClr val="4285F4"/>
              </a:solidFill>
            </a:ln>
          </c:spPr>
          <c:marker>
            <c:symbol val="none"/>
          </c:marker>
          <c:dPt>
            <c:idx val="13"/>
            <c:marker>
              <c:symbol val="none"/>
            </c:marker>
          </c:dPt>
          <c:dLbls>
            <c:numFmt formatCode="General" sourceLinked="1"/>
            <c:txPr>
              <a:bodyPr/>
              <a:lstStyle/>
              <a:p>
                <a:pPr lvl="0">
                  <a:defRPr/>
                </a:pPr>
              </a:p>
            </c:txPr>
            <c:showLegendKey val="0"/>
            <c:showVal val="1"/>
            <c:showCatName val="0"/>
            <c:showSerName val="0"/>
            <c:showPercent val="0"/>
            <c:showBubbleSize val="0"/>
          </c:dLbls>
          <c:cat>
            <c:strRef>
              <c:f>'NO 3'!$D$11:$D$34</c:f>
            </c:strRef>
          </c:cat>
          <c:val>
            <c:numRef>
              <c:f>'NO 3'!$E$11:$E$34</c:f>
              <c:numCache/>
            </c:numRef>
          </c:val>
          <c:smooth val="0"/>
        </c:ser>
        <c:axId val="1028252085"/>
        <c:axId val="1926146862"/>
      </c:lineChart>
      <c:catAx>
        <c:axId val="10282520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 of Crash</a:t>
                </a:r>
              </a:p>
            </c:rich>
          </c:tx>
          <c:overlay val="0"/>
        </c:title>
        <c:numFmt formatCode="General" sourceLinked="1"/>
        <c:majorTickMark val="none"/>
        <c:minorTickMark val="none"/>
        <c:spPr/>
        <c:txPr>
          <a:bodyPr/>
          <a:lstStyle/>
          <a:p>
            <a:pPr lvl="0">
              <a:defRPr b="0">
                <a:solidFill>
                  <a:srgbClr val="000000"/>
                </a:solidFill>
                <a:latin typeface="+mn-lt"/>
              </a:defRPr>
            </a:pPr>
          </a:p>
        </c:txPr>
        <c:crossAx val="1926146862"/>
      </c:catAx>
      <c:valAx>
        <c:axId val="19261468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825208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Crash By Area</a:t>
            </a:r>
          </a:p>
        </c:rich>
      </c:tx>
      <c:overlay val="0"/>
    </c:title>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'NO 3'!$A$46:$B$46</c:f>
            </c:strRef>
          </c:cat>
          <c:val>
            <c:numRef>
              <c:f>'NO 3'!$A$47:$B$47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Crash by Intersection</a:t>
            </a:r>
          </a:p>
        </c:rich>
      </c:tx>
      <c:overlay val="0"/>
    </c:title>
    <c:view3D>
      <c:rotX val="15"/>
      <c:rotY val="20"/>
      <c:depthPercent val="100"/>
      <c:rAngAx val="1"/>
    </c:view3D>
    <c:plotArea>
      <c:layout/>
      <c:bar3DChart>
        <c:barDir val="bar"/>
        <c:grouping val="clustered"/>
        <c:ser>
          <c:idx val="0"/>
          <c:order val="0"/>
          <c:spPr>
            <a:solidFill>
              <a:schemeClr val="accent1"/>
            </a:solidFill>
            <a:ln cmpd="sng">
              <a:solidFill>
                <a:srgbClr val="000000"/>
              </a:solidFill>
              <a:prstDash val="solid"/>
            </a:ln>
          </c:spPr>
          <c:dLbls>
            <c:numFmt formatCode="General" sourceLinked="1"/>
            <c:txPr>
              <a:bodyPr/>
              <a:lstStyle/>
              <a:p>
                <a:pPr lvl="0">
                  <a:defRPr/>
                </a:pPr>
              </a:p>
            </c:txPr>
            <c:showLegendKey val="0"/>
            <c:showVal val="1"/>
            <c:showCatName val="0"/>
            <c:showSerName val="0"/>
            <c:showPercent val="0"/>
            <c:showBubbleSize val="0"/>
          </c:dLbls>
          <c:cat>
            <c:strRef>
              <c:f>'NO 3'!$A$50:$I$50</c:f>
            </c:strRef>
          </c:cat>
          <c:val>
            <c:numRef>
              <c:f>'NO 3'!$A$51:$I$51</c:f>
              <c:numCache/>
            </c:numRef>
          </c:val>
        </c:ser>
        <c:axId val="1164858997"/>
        <c:axId val="1398850741"/>
      </c:bar3DChart>
      <c:catAx>
        <c:axId val="11648589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8850741"/>
      </c:catAx>
      <c:valAx>
        <c:axId val="13988507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164858997"/>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Hourly</a:t>
            </a:r>
          </a:p>
        </c:rich>
      </c:tx>
      <c:overlay val="0"/>
    </c:title>
    <c:plotArea>
      <c:layout/>
      <c:barChart>
        <c:barDir val="col"/>
        <c:grouping val="stacked"/>
        <c:ser>
          <c:idx val="0"/>
          <c:order val="0"/>
          <c:tx>
            <c:strRef>
              <c:f>'NO 3'!$E$10</c:f>
            </c:strRef>
          </c:tx>
          <c:spPr>
            <a:solidFill>
              <a:schemeClr val="accent1"/>
            </a:solidFill>
            <a:ln cmpd="sng">
              <a:solidFill>
                <a:srgbClr val="000000"/>
              </a:solidFill>
            </a:ln>
          </c:spPr>
          <c:dPt>
            <c:idx val="13"/>
            <c:spPr>
              <a:solidFill>
                <a:srgbClr val="FF0000"/>
              </a:solidFill>
              <a:ln cmpd="sng">
                <a:solidFill>
                  <a:srgbClr val="000000"/>
                </a:solidFill>
              </a:ln>
            </c:spPr>
          </c:dPt>
          <c:cat>
            <c:strRef>
              <c:f>'NO 3'!$D$11:$D$34</c:f>
            </c:strRef>
          </c:cat>
          <c:val>
            <c:numRef>
              <c:f>'NO 3'!$E$11:$E$34</c:f>
              <c:numCache/>
            </c:numRef>
          </c:val>
        </c:ser>
        <c:overlap val="100"/>
        <c:axId val="2044075151"/>
        <c:axId val="110227587"/>
      </c:barChart>
      <c:catAx>
        <c:axId val="20440751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 of Crash</a:t>
                </a:r>
              </a:p>
            </c:rich>
          </c:tx>
          <c:overlay val="0"/>
        </c:title>
        <c:numFmt formatCode="General" sourceLinked="1"/>
        <c:majorTickMark val="none"/>
        <c:minorTickMark val="none"/>
        <c:spPr/>
        <c:txPr>
          <a:bodyPr/>
          <a:lstStyle/>
          <a:p>
            <a:pPr lvl="0">
              <a:defRPr b="0">
                <a:solidFill>
                  <a:srgbClr val="000000"/>
                </a:solidFill>
                <a:latin typeface="+mn-lt"/>
              </a:defRPr>
            </a:pPr>
          </a:p>
        </c:txPr>
        <c:crossAx val="110227587"/>
      </c:catAx>
      <c:valAx>
        <c:axId val="110227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4075151"/>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Intersection on Rural Area</a:t>
            </a:r>
          </a:p>
        </c:rich>
      </c:tx>
      <c:overlay val="0"/>
    </c:title>
    <c:view3D>
      <c:rotX val="50"/>
      <c:perspective val="0"/>
    </c:view3D>
    <c:plotArea>
      <c:layout/>
      <c:pie3D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'NO 3'!$A$99:$H$99</c:f>
            </c:strRef>
          </c:cat>
          <c:val>
            <c:numRef>
              <c:f>'NO 3'!$A$100:$H$100</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Perbandingan urban not intersection and total crash</a:t>
            </a:r>
          </a:p>
        </c:rich>
      </c:tx>
      <c:overlay val="0"/>
    </c:title>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'NO 3'!$A$125:$B$125</c:f>
            </c:strRef>
          </c:cat>
          <c:val>
            <c:numRef>
              <c:f>'NO 3'!$A$126:$B$126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Hourly</a:t>
            </a:r>
          </a:p>
        </c:rich>
      </c:tx>
      <c:overlay val="0"/>
    </c:title>
    <c:plotArea>
      <c:layout/>
      <c:barChart>
        <c:barDir val="col"/>
        <c:grouping val="stacked"/>
        <c:ser>
          <c:idx val="0"/>
          <c:order val="0"/>
          <c:tx>
            <c:strRef>
              <c:f>'Copy of NO 3'!$E$10</c:f>
            </c:strRef>
          </c:tx>
          <c:spPr>
            <a:solidFill>
              <a:schemeClr val="accent1"/>
            </a:solidFill>
            <a:ln cmpd="sng">
              <a:solidFill>
                <a:srgbClr val="000000"/>
              </a:solidFill>
            </a:ln>
          </c:spPr>
          <c:dPt>
            <c:idx val="13"/>
            <c:spPr>
              <a:solidFill>
                <a:srgbClr val="FF0000"/>
              </a:solidFill>
              <a:ln cmpd="sng">
                <a:solidFill>
                  <a:srgbClr val="000000"/>
                </a:solidFill>
              </a:ln>
            </c:spPr>
          </c:dPt>
          <c:cat>
            <c:strRef>
              <c:f>'Copy of NO 3'!$D$11:$D$34</c:f>
            </c:strRef>
          </c:cat>
          <c:val>
            <c:numRef>
              <c:f>'Copy of NO 3'!$E$11:$E$34</c:f>
              <c:numCache/>
            </c:numRef>
          </c:val>
        </c:ser>
        <c:overlap val="100"/>
        <c:axId val="1286209427"/>
        <c:axId val="1883801486"/>
      </c:barChart>
      <c:catAx>
        <c:axId val="1286209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 of Crash</a:t>
                </a:r>
              </a:p>
            </c:rich>
          </c:tx>
          <c:overlay val="0"/>
        </c:title>
        <c:numFmt formatCode="General" sourceLinked="1"/>
        <c:majorTickMark val="none"/>
        <c:minorTickMark val="none"/>
        <c:spPr/>
        <c:txPr>
          <a:bodyPr/>
          <a:lstStyle/>
          <a:p>
            <a:pPr lvl="0">
              <a:defRPr b="0">
                <a:solidFill>
                  <a:srgbClr val="000000"/>
                </a:solidFill>
                <a:latin typeface="+mn-lt"/>
              </a:defRPr>
            </a:pPr>
          </a:p>
        </c:txPr>
        <c:crossAx val="1883801486"/>
      </c:catAx>
      <c:valAx>
        <c:axId val="1883801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6209427"/>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Hourly</a:t>
            </a:r>
          </a:p>
        </c:rich>
      </c:tx>
      <c:overlay val="0"/>
    </c:title>
    <c:plotArea>
      <c:layout/>
      <c:lineChart>
        <c:varyColors val="0"/>
        <c:ser>
          <c:idx val="0"/>
          <c:order val="0"/>
          <c:tx>
            <c:strRef>
              <c:f>'Copy of NO 3'!$E$10</c:f>
            </c:strRef>
          </c:tx>
          <c:spPr>
            <a:ln cmpd="sng">
              <a:solidFill>
                <a:srgbClr val="4285F4"/>
              </a:solidFill>
            </a:ln>
          </c:spPr>
          <c:marker>
            <c:symbol val="none"/>
          </c:marker>
          <c:dPt>
            <c:idx val="13"/>
            <c:marker>
              <c:symbol val="none"/>
            </c:marker>
          </c:dPt>
          <c:dLbls>
            <c:numFmt formatCode="General" sourceLinked="1"/>
            <c:txPr>
              <a:bodyPr/>
              <a:lstStyle/>
              <a:p>
                <a:pPr lvl="0">
                  <a:defRPr/>
                </a:pPr>
              </a:p>
            </c:txPr>
            <c:showLegendKey val="0"/>
            <c:showVal val="1"/>
            <c:showCatName val="0"/>
            <c:showSerName val="0"/>
            <c:showPercent val="0"/>
            <c:showBubbleSize val="0"/>
          </c:dLbls>
          <c:cat>
            <c:strRef>
              <c:f>'Copy of NO 3'!$D$11:$D$34</c:f>
            </c:strRef>
          </c:cat>
          <c:val>
            <c:numRef>
              <c:f>'Copy of NO 3'!$E$11:$E$34</c:f>
              <c:numCache/>
            </c:numRef>
          </c:val>
          <c:smooth val="0"/>
        </c:ser>
        <c:axId val="117608615"/>
        <c:axId val="25701969"/>
      </c:lineChart>
      <c:catAx>
        <c:axId val="117608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 of Crash</a:t>
                </a:r>
              </a:p>
            </c:rich>
          </c:tx>
          <c:overlay val="0"/>
        </c:title>
        <c:numFmt formatCode="General" sourceLinked="1"/>
        <c:majorTickMark val="none"/>
        <c:minorTickMark val="none"/>
        <c:spPr/>
        <c:txPr>
          <a:bodyPr/>
          <a:lstStyle/>
          <a:p>
            <a:pPr lvl="0">
              <a:defRPr b="0">
                <a:solidFill>
                  <a:srgbClr val="000000"/>
                </a:solidFill>
                <a:latin typeface="+mn-lt"/>
              </a:defRPr>
            </a:pPr>
          </a:p>
        </c:txPr>
        <c:crossAx val="25701969"/>
      </c:catAx>
      <c:valAx>
        <c:axId val="25701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608615"/>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Crash By Area</a:t>
            </a:r>
          </a:p>
        </c:rich>
      </c:tx>
      <c:overlay val="0"/>
    </c:title>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'Copy of NO 3'!$A$56:$B$56</c:f>
            </c:strRef>
          </c:cat>
          <c:val>
            <c:numRef>
              <c:f>'Copy of NO 3'!$A$57:$B$57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Crash by Intersection</a:t>
            </a:r>
          </a:p>
        </c:rich>
      </c:tx>
      <c:overlay val="0"/>
    </c:title>
    <c:plotArea>
      <c:layout/>
      <c:barChart>
        <c:barDir val="bar"/>
        <c:ser>
          <c:idx val="0"/>
          <c:order val="0"/>
          <c:spPr>
            <a:solidFill>
              <a:schemeClr val="accent1"/>
            </a:solidFill>
            <a:ln cmpd="sng">
              <a:solidFill>
                <a:srgbClr val="000000"/>
              </a:solidFill>
              <a:prstDash val="solid"/>
            </a:ln>
          </c:spPr>
          <c:dLbls>
            <c:numFmt formatCode="General" sourceLinked="1"/>
            <c:txPr>
              <a:bodyPr/>
              <a:lstStyle/>
              <a:p>
                <a:pPr lvl="0">
                  <a:defRPr/>
                </a:pPr>
              </a:p>
            </c:txPr>
            <c:showLegendKey val="0"/>
            <c:showVal val="1"/>
            <c:showCatName val="0"/>
            <c:showSerName val="0"/>
            <c:showPercent val="0"/>
            <c:showBubbleSize val="0"/>
          </c:dLbls>
          <c:cat>
            <c:strRef>
              <c:f>'Copy of NO 3'!$A$60:$I$60</c:f>
            </c:strRef>
          </c:cat>
          <c:val>
            <c:numRef>
              <c:f>'Copy of NO 3'!$A$61:$I$61</c:f>
              <c:numCache/>
            </c:numRef>
          </c:val>
        </c:ser>
        <c:axId val="2125360855"/>
        <c:axId val="1529262722"/>
      </c:barChart>
      <c:catAx>
        <c:axId val="212536085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9262722"/>
      </c:catAx>
      <c:valAx>
        <c:axId val="15292627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5360855"/>
        <c:crosses val="max"/>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Percentage of accidents caused by drunk drivers</a:t>
            </a:r>
          </a:p>
        </c:rich>
      </c:tx>
      <c:overlay val="0"/>
    </c:title>
    <c:plotArea>
      <c:layout/>
      <c:barChart>
        <c:barDir val="col"/>
        <c:grouping val="stacked"/>
        <c:ser>
          <c:idx val="0"/>
          <c:order val="0"/>
          <c:tx>
            <c:strRef>
              <c:f>NO__4!$A$14</c:f>
            </c:strRef>
          </c:tx>
          <c:spPr>
            <a:solidFill>
              <a:schemeClr val="accent1"/>
            </a:solidFill>
            <a:ln cmpd="sng">
              <a:solidFill>
                <a:srgbClr val="000000"/>
              </a:solidFill>
            </a:ln>
          </c:spPr>
          <c:cat>
            <c:strRef>
              <c:f>NO__4!$A$15:$A$16</c:f>
            </c:strRef>
          </c:cat>
          <c:val>
            <c:numRef>
              <c:f>NO__4!$A$15:$A$16</c:f>
              <c:numCache/>
            </c:numRef>
          </c:val>
        </c:ser>
        <c:overlap val="100"/>
        <c:axId val="1561055162"/>
        <c:axId val="547478699"/>
      </c:barChart>
      <c:catAx>
        <c:axId val="15610551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7478699"/>
      </c:catAx>
      <c:valAx>
        <c:axId val="547478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1055162"/>
      </c:valAx>
    </c:plotArea>
    <c:legend>
      <c:legendPos val="r"/>
      <c:overlay val="0"/>
      <c:txPr>
        <a:bodyPr/>
        <a:lstStyle/>
        <a:p>
          <a:pPr lvl="0">
            <a:defRPr b="1">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Percentage of accidents caused by drunk drivers</a:t>
            </a:r>
          </a:p>
        </c:rich>
      </c:tx>
      <c:overlay val="0"/>
    </c:title>
    <c:view3D>
      <c:rotX val="50"/>
      <c:perspective val="0"/>
    </c:view3D>
    <c:plotArea>
      <c:layout/>
      <c:pie3DChart>
        <c:varyColors val="1"/>
        <c:ser>
          <c:idx val="0"/>
          <c:order val="0"/>
          <c:tx>
            <c:strRef>
              <c:f>'NO 4'!$B$14</c:f>
            </c:strRef>
          </c:tx>
          <c:dPt>
            <c:idx val="0"/>
            <c:spPr>
              <a:solidFill>
                <a:srgbClr val="4285F4"/>
              </a:solidFill>
            </c:spPr>
          </c:dPt>
          <c:dPt>
            <c:idx val="1"/>
            <c:spPr>
              <a:solidFill>
                <a:srgbClr val="EA4335"/>
              </a:solidFill>
            </c:spPr>
          </c:dPt>
          <c:dLbls>
            <c:showLegendKey val="0"/>
            <c:showVal val="1"/>
            <c:showCatName val="0"/>
            <c:showSerName val="0"/>
            <c:showPercent val="0"/>
            <c:showBubbleSize val="0"/>
            <c:showLeaderLines val="1"/>
          </c:dLbls>
          <c:cat>
            <c:strRef>
              <c:f>'NO 4'!$A$15:$A$16</c:f>
            </c:strRef>
          </c:cat>
          <c:val>
            <c:numRef>
              <c:f>'NO 4'!$B$15:$B$16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Perbandingan Total Crash Rural vs Urban</a:t>
            </a:r>
          </a:p>
        </c:rich>
      </c:tx>
      <c:overlay val="0"/>
    </c:title>
    <c:view3D>
      <c:rotX val="50"/>
      <c:perspective val="0"/>
    </c:view3D>
    <c:plotArea>
      <c:layout/>
      <c:pie3DChart>
        <c:varyColors val="1"/>
        <c:ser>
          <c:idx val="0"/>
          <c:order val="0"/>
          <c:tx>
            <c:strRef>
              <c:f>'NO 5'!$B$13</c:f>
            </c:strRef>
          </c:tx>
          <c:dPt>
            <c:idx val="0"/>
            <c:spPr>
              <a:solidFill>
                <a:srgbClr val="4285F4"/>
              </a:solidFill>
            </c:spPr>
          </c:dPt>
          <c:dPt>
            <c:idx val="1"/>
            <c:spPr>
              <a:solidFill>
                <a:srgbClr val="EA4335"/>
              </a:solidFill>
            </c:spPr>
          </c:dPt>
          <c:dLbls>
            <c:showLegendKey val="0"/>
            <c:showVal val="1"/>
            <c:showCatName val="0"/>
            <c:showSerName val="0"/>
            <c:showPercent val="0"/>
            <c:showBubbleSize val="0"/>
            <c:showLeaderLines val="1"/>
          </c:dLbls>
          <c:cat>
            <c:strRef>
              <c:f>'NO 5'!$A$14:$A$15</c:f>
            </c:strRef>
          </c:cat>
          <c:val>
            <c:numRef>
              <c:f>'NO 5'!$B$14:$B$15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Crash Based Day</a:t>
            </a:r>
          </a:p>
        </c:rich>
      </c:tx>
      <c:overlay val="0"/>
    </c:title>
    <c:plotArea>
      <c:layout/>
      <c:barChart>
        <c:barDir val="bar"/>
        <c:ser>
          <c:idx val="0"/>
          <c:order val="0"/>
          <c:tx>
            <c:strRef>
              <c:f>'NO 6'!$B$26:$B$27</c:f>
            </c:strRef>
          </c:tx>
          <c:spPr>
            <a:solidFill>
              <a:schemeClr val="accent1"/>
            </a:solidFill>
            <a:ln cmpd="sng">
              <a:solidFill>
                <a:srgbClr val="000000"/>
              </a:solidFill>
            </a:ln>
          </c:spPr>
          <c:dPt>
            <c:idx val="0"/>
            <c:spPr>
              <a:solidFill>
                <a:srgbClr val="FF0000"/>
              </a:solidFill>
              <a:ln cmpd="sng">
                <a:solidFill>
                  <a:srgbClr val="000000"/>
                </a:solidFill>
              </a:ln>
            </c:spPr>
          </c:dPt>
          <c:dPt>
            <c:idx val="1"/>
          </c:dPt>
          <c:dLbls>
            <c:dLbl>
              <c:idx val="0"/>
              <c:numFmt formatCode="General" sourceLinked="1"/>
              <c:txPr>
                <a:bodyPr/>
                <a:lstStyle/>
                <a:p>
                  <a:pPr lvl="0">
                    <a:defRPr b="1"/>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'NO 6'!$A$28:$A$34</c:f>
            </c:strRef>
          </c:cat>
          <c:val>
            <c:numRef>
              <c:f>'NO 6'!$B$28:$B$34</c:f>
              <c:numCache/>
            </c:numRef>
          </c:val>
        </c:ser>
        <c:axId val="1420562823"/>
        <c:axId val="1237115671"/>
      </c:barChart>
      <c:catAx>
        <c:axId val="142056282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7115671"/>
      </c:catAx>
      <c:valAx>
        <c:axId val="12371156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Cases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0562823"/>
        <c:crosses val="max"/>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Crash Based Day</a:t>
            </a:r>
          </a:p>
        </c:rich>
      </c:tx>
      <c:layout>
        <c:manualLayout>
          <c:xMode val="edge"/>
          <c:yMode val="edge"/>
          <c:x val="0.02681718061674009"/>
          <c:y val="0.05223713646532439"/>
        </c:manualLayout>
      </c:layout>
      <c:overlay val="0"/>
    </c:title>
    <c:plotArea>
      <c:layout/>
      <c:lineChart>
        <c:varyColors val="0"/>
        <c:ser>
          <c:idx val="0"/>
          <c:order val="0"/>
          <c:tx>
            <c:strRef>
              <c:f>'NO 6'!$B$17</c:f>
            </c:strRef>
          </c:tx>
          <c:spPr>
            <a:ln cmpd="sng">
              <a:solidFill>
                <a:srgbClr val="4285F4"/>
              </a:solidFill>
            </a:ln>
          </c:spPr>
          <c:marker>
            <c:symbol val="none"/>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cat>
            <c:strRef>
              <c:f>'NO 6'!$A$18:$A$24</c:f>
            </c:strRef>
          </c:cat>
          <c:val>
            <c:numRef>
              <c:f>'NO 6'!$B$18:$B$24</c:f>
              <c:numCache/>
            </c:numRef>
          </c:val>
          <c:smooth val="0"/>
        </c:ser>
        <c:axId val="1667572233"/>
        <c:axId val="1954591870"/>
      </c:lineChart>
      <c:catAx>
        <c:axId val="16675722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4591870"/>
      </c:catAx>
      <c:valAx>
        <c:axId val="1954591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Crash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7572233"/>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Perbandingan Total Crash dan Fatality Q1 VS Q4 Tahun 2021</a:t>
            </a:r>
          </a:p>
        </c:rich>
      </c:tx>
      <c:overlay val="0"/>
    </c:title>
    <c:plotArea>
      <c:layout/>
      <c:barChart>
        <c:barDir val="col"/>
        <c:ser>
          <c:idx val="0"/>
          <c:order val="0"/>
          <c:tx>
            <c:v>Total Crash</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('NO 7'!$A$29:$A$31,'NO 7'!$B$23:$B$25,'NO 7'!$C$23:$C$25)</c:f>
            </c:strRef>
          </c:cat>
          <c:val>
            <c:numRef>
              <c:f>('NO 7'!$A$29:$A$31,'NO 7'!$B$23:$B$25,'NO 7'!$C$23:$C$25)</c:f>
              <c:numCache/>
            </c:numRef>
          </c:val>
        </c:ser>
        <c:axId val="1311795592"/>
        <c:axId val="639828360"/>
      </c:barChart>
      <c:catAx>
        <c:axId val="1311795592"/>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639828360"/>
      </c:catAx>
      <c:valAx>
        <c:axId val="63982836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179559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 Id="rId6"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4.xml"/><Relationship Id="rId2"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504825</xdr:colOff>
      <xdr:row>0</xdr:row>
      <xdr:rowOff>85725</xdr:rowOff>
    </xdr:from>
    <xdr:ext cx="5715000" cy="353377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561975</xdr:colOff>
      <xdr:row>18</xdr:row>
      <xdr:rowOff>57150</xdr:rowOff>
    </xdr:from>
    <xdr:ext cx="5715000" cy="35337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55</xdr:row>
      <xdr:rowOff>76200</xdr:rowOff>
    </xdr:from>
    <xdr:ext cx="5715000" cy="3533775"/>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561975</xdr:colOff>
      <xdr:row>54</xdr:row>
      <xdr:rowOff>47625</xdr:rowOff>
    </xdr:from>
    <xdr:ext cx="5715000" cy="353377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485775</xdr:colOff>
      <xdr:row>6</xdr:row>
      <xdr:rowOff>180975</xdr:rowOff>
    </xdr:from>
    <xdr:ext cx="7667625" cy="4829175"/>
    <xdr:graphicFrame>
      <xdr:nvGraphicFramePr>
        <xdr:cNvPr id="5" name="Chart 5"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485775</xdr:colOff>
      <xdr:row>39</xdr:row>
      <xdr:rowOff>0</xdr:rowOff>
    </xdr:from>
    <xdr:ext cx="7667625" cy="4200525"/>
    <xdr:graphicFrame>
      <xdr:nvGraphicFramePr>
        <xdr:cNvPr id="6" name="Chart 6"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485775</xdr:colOff>
      <xdr:row>67</xdr:row>
      <xdr:rowOff>190500</xdr:rowOff>
    </xdr:from>
    <xdr:ext cx="7667625" cy="3590925"/>
    <xdr:graphicFrame>
      <xdr:nvGraphicFramePr>
        <xdr:cNvPr id="7" name="Chart 7"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485775</xdr:colOff>
      <xdr:row>93</xdr:row>
      <xdr:rowOff>171450</xdr:rowOff>
    </xdr:from>
    <xdr:ext cx="7667625" cy="4200525"/>
    <xdr:graphicFrame>
      <xdr:nvGraphicFramePr>
        <xdr:cNvPr id="8" name="Chart 8" title="Diagram"/>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7</xdr:row>
      <xdr:rowOff>180975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85725</xdr:colOff>
      <xdr:row>9</xdr:row>
      <xdr:rowOff>38100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933450</xdr:colOff>
      <xdr:row>7</xdr:row>
      <xdr:rowOff>180975</xdr:rowOff>
    </xdr:from>
    <xdr:ext cx="7724775" cy="4038600"/>
    <xdr:graphicFrame>
      <xdr:nvGraphicFramePr>
        <xdr:cNvPr id="11" name="Chart 1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209550</xdr:colOff>
      <xdr:row>52</xdr:row>
      <xdr:rowOff>38100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209550</xdr:colOff>
      <xdr:row>52</xdr:row>
      <xdr:rowOff>38100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942975</xdr:colOff>
      <xdr:row>7</xdr:row>
      <xdr:rowOff>180975</xdr:rowOff>
    </xdr:from>
    <xdr:ext cx="8667750" cy="4038600"/>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100</xdr:row>
      <xdr:rowOff>161925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100</xdr:row>
      <xdr:rowOff>114300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7</xdr:row>
      <xdr:rowOff>180975</xdr:rowOff>
    </xdr:from>
    <xdr:ext cx="8667750" cy="4038600"/>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933450</xdr:colOff>
      <xdr:row>7</xdr:row>
      <xdr:rowOff>180975</xdr:rowOff>
    </xdr:from>
    <xdr:ext cx="7724775" cy="4038600"/>
    <xdr:graphicFrame>
      <xdr:nvGraphicFramePr>
        <xdr:cNvPr id="18" name="Chart 18"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381000</xdr:colOff>
      <xdr:row>62</xdr:row>
      <xdr:rowOff>57150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342900</xdr:colOff>
      <xdr:row>62</xdr:row>
      <xdr:rowOff>57150</xdr:rowOff>
    </xdr:from>
    <xdr:ext cx="5715000" cy="3495675"/>
    <xdr:graphicFrame>
      <xdr:nvGraphicFramePr>
        <xdr:cNvPr id="20" name="Chart 20"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19</xdr:row>
      <xdr:rowOff>0</xdr:rowOff>
    </xdr:from>
    <xdr:ext cx="6562725" cy="3524250"/>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19</xdr:row>
      <xdr:rowOff>0</xdr:rowOff>
    </xdr:from>
    <xdr:ext cx="6848475" cy="378142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19050</xdr:rowOff>
    </xdr:from>
    <xdr:ext cx="5762625" cy="3343275"/>
    <xdr:graphicFrame>
      <xdr:nvGraphicFramePr>
        <xdr:cNvPr id="23" name="Chart 23"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36</xdr:row>
      <xdr:rowOff>180975</xdr:rowOff>
    </xdr:from>
    <xdr:ext cx="8772525" cy="4210050"/>
    <xdr:graphicFrame>
      <xdr:nvGraphicFramePr>
        <xdr:cNvPr id="24" name="Chart 24"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171450</xdr:colOff>
      <xdr:row>36</xdr:row>
      <xdr:rowOff>180975</xdr:rowOff>
    </xdr:from>
    <xdr:ext cx="7515225" cy="4210050"/>
    <xdr:graphicFrame>
      <xdr:nvGraphicFramePr>
        <xdr:cNvPr id="25" name="Chart 25"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180975</xdr:rowOff>
    </xdr:from>
    <xdr:ext cx="7677150" cy="4248150"/>
    <xdr:graphicFrame>
      <xdr:nvGraphicFramePr>
        <xdr:cNvPr id="26" name="Chart 26"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14" sheet="NO_1"/>
  </cacheSource>
  <cacheFields>
    <cacheField name="atmospheric_conditions_1_name" numFmtId="0">
      <sharedItems>
        <s v="Severe Crosswinds"/>
        <s v="Reported as Unknown"/>
        <s v="Other"/>
        <s v="Blowing Sand, Soil, Dirt"/>
        <s v="Sleet or Hail"/>
        <s v="Clear"/>
        <s v="Freezing Rain or Drizzle"/>
        <s v="Blowing Snow"/>
        <s v="Fog, Smog, Smoke"/>
        <s v="Not Reported"/>
        <s v="Snow"/>
        <s v="Rain"/>
        <s v="Cloudy"/>
      </sharedItems>
    </cacheField>
    <cacheField name="total_atmospheric_conditions_1_name" numFmtId="0">
      <sharedItems containsSemiMixedTypes="0" containsString="0" containsNumber="1" containsInteger="1">
        <n v="54.0"/>
        <n v="204.0"/>
        <n v="20.0"/>
        <n v="5.0"/>
        <n v="26.0"/>
        <n v="24786.0"/>
        <n v="35.0"/>
        <n v="364.0"/>
        <n v="2444.0"/>
        <n v="281.0"/>
        <n v="2613.0"/>
        <n v="4593.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6:B27" sheet="NO_1"/>
  </cacheSource>
  <cacheFields>
    <cacheField name="type_of_intersection_name" numFmtId="0">
      <sharedItems>
        <s v="Y-Intersection"/>
        <s v="Not an Intersection"/>
        <s v="Other Intersection Type"/>
        <s v="Five Point, or More"/>
        <s v="Not Reported"/>
        <s v="Four-Way Intersection"/>
        <s v="L-Intersection"/>
        <s v="Traffic Circle"/>
        <s v="Roundabout"/>
        <s v="Reported as Unknown"/>
        <s v="T-Intersection"/>
      </sharedItems>
    </cacheField>
    <cacheField name="total_type_of_intersection_name" numFmtId="0">
      <sharedItems containsSemiMixedTypes="0" containsString="0" containsNumber="1" containsInteger="1">
        <n v="243.0"/>
        <n v="26653.0"/>
        <n v="9.0"/>
        <n v="45.0"/>
        <n v="62.0"/>
        <n v="5375.0"/>
        <n v="22.0"/>
        <n v="26.0"/>
        <n v="55.0"/>
        <n v="29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9:B38" sheet="NO_1"/>
  </cacheSource>
  <cacheFields>
    <cacheField name="light_condition_name" numFmtId="0">
      <sharedItems>
        <s v="Dark - Unknown Lighting"/>
        <s v="Dusk"/>
        <s v="Reported as Unknown"/>
        <s v="Other"/>
        <s v="Dark - Lighted"/>
        <s v="Dark - Not Lighted"/>
        <s v="Dawn"/>
        <s v="Not Reported"/>
        <s v="Daylight"/>
      </sharedItems>
    </cacheField>
    <cacheField name="total_light_condition_name" numFmtId="0">
      <sharedItems containsSemiMixedTypes="0" containsString="0" containsNumber="1" containsInteger="1">
        <n v="335.0"/>
        <n v="951.0"/>
        <n v="126.0"/>
        <n v="17.0"/>
        <n v="7373.0"/>
        <n v="9695.0"/>
        <n v="645.0"/>
        <n v="73.0"/>
        <n v="16236.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0:B51" sheet="NO_1"/>
  </cacheSource>
  <cacheFields>
    <cacheField name="manner_of_collision_name" numFmtId="0">
      <sharedItems>
        <s v="Reported as Unknown"/>
        <s v="Other"/>
        <s v="Sideswipe - Same Direction"/>
        <s v="Angle"/>
        <s v="Front-to-Rear"/>
        <s v="Rear-to-Rear"/>
        <s v="Not Reported"/>
        <s v="Rear-to-Side"/>
        <s v="The First Harmful Event was Not a Collision with a Motor Vehicle in Transport"/>
        <s v="Sideswipe - Opposite Direction"/>
        <s v="Front-to-Front"/>
      </sharedItems>
    </cacheField>
    <cacheField name="total_manner_of_collision_name" numFmtId="0">
      <sharedItems containsSemiMixedTypes="0" containsString="0" containsNumber="1" containsInteger="1">
        <n v="64.0"/>
        <n v="101.0"/>
        <n v="530.0"/>
        <n v="6421.0"/>
        <n v="2426.0"/>
        <n v="2.0"/>
        <n v="39.0"/>
        <n v="30.0"/>
        <n v="21797.0"/>
        <n v="420.0"/>
        <n v="3621.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7:B18" sheet="NO 1"/>
  </cacheSource>
  <cacheFields>
    <cacheField name="atmospheric_conditions_1_name_clean" numFmtId="0">
      <sharedItems>
        <s v="Other"/>
        <s v="Snow"/>
        <s v="Blowing Sand, Soil, Dirt"/>
        <s v="Fog, Smog, Smoke"/>
        <s v="Severe Crosswinds"/>
        <s v="Clear"/>
        <s v="Rain"/>
        <s v="Sleet or Hail"/>
        <s v="Freezing Rain or Drizzle"/>
        <s v="Blowing Snow"/>
        <s v="Cloudy"/>
      </sharedItems>
    </cacheField>
    <cacheField name="total_crash" numFmtId="0">
      <sharedItems containsSemiMixedTypes="0" containsString="0" containsNumber="1" containsInteger="1">
        <n v="2668.0"/>
        <n v="281.0"/>
        <n v="5.0"/>
        <n v="364.0"/>
        <n v="54.0"/>
        <n v="24757.0"/>
        <n v="2610.0"/>
        <n v="26.0"/>
        <n v="35.0"/>
        <n v="4587.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0:B49" sheet="NO 1"/>
  </cacheSource>
  <cacheFields>
    <cacheField name="type_of_intersection_name_clean" numFmtId="0">
      <sharedItems>
        <s v="Y-Intersection"/>
        <s v="Not an Intersection"/>
        <s v="Other Intersection Type"/>
        <s v="Five Point, or More"/>
        <s v="Four-Way Intersection"/>
        <s v="L-Intersection"/>
        <s v="Traffic Circle"/>
        <s v="Roundabout"/>
        <s v="T-Intersection"/>
      </sharedItems>
    </cacheField>
    <cacheField name="total_crash" numFmtId="0">
      <sharedItems containsSemiMixedTypes="0" containsString="0" containsNumber="1" containsInteger="1">
        <n v="242.0"/>
        <n v="26622.0"/>
        <n v="126.0"/>
        <n v="45.0"/>
        <n v="5369.0"/>
        <n v="22.0"/>
        <n v="9.0"/>
        <n v="26.0"/>
        <n v="2952.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9:B76" sheet="NO 1"/>
  </cacheSource>
  <cacheFields>
    <cacheField name="light_condition_name_clean" numFmtId="0">
      <sharedItems>
        <s v="Other"/>
        <s v="Dark - Lighted"/>
        <s v="Dark - Not Lighted"/>
        <s v="Dawn"/>
        <s v="Daylight"/>
        <s v="Dark - Unknown Lighting"/>
        <s v="Dusk"/>
      </sharedItems>
    </cacheField>
    <cacheField name="total_crash" numFmtId="0">
      <sharedItems containsSemiMixedTypes="0" containsString="0" containsNumber="1" containsInteger="1">
        <n v="216.0"/>
        <n v="7360.0"/>
        <n v="9671.0"/>
        <n v="645.0"/>
        <n v="16236.0"/>
        <n v="334.0"/>
        <n v="951.0"/>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5:B104" sheet="NO 1"/>
  </cacheSource>
  <cacheFields>
    <cacheField name="manner_of_collision_name_clean" numFmtId="0">
      <sharedItems>
        <s v="Other"/>
        <s v="Sideswipe - Same Direction"/>
        <s v="Angle"/>
        <s v="Front-to-Rear"/>
        <s v="Rear-to-Rear"/>
        <s v="Rear-to-Side"/>
        <s v="The First Harmful Event was Not a Collision with a Motor Vehicle in Transport"/>
        <s v="Sideswipe - Opposite Direction"/>
        <s v="Front-to-Front"/>
      </sharedItems>
    </cacheField>
    <cacheField name="total_crash" numFmtId="0">
      <sharedItems containsSemiMixedTypes="0" containsString="0" containsNumber="1" containsInteger="1">
        <n v="204.0"/>
        <n v="530.0"/>
        <n v="6416.0"/>
        <n v="2424.0"/>
        <n v="2.0"/>
        <n v="30.0"/>
        <n v="21769.0"/>
        <n v="420.0"/>
        <n v="3618.0"/>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B19" sheet="NO 2"/>
  </cacheSource>
  <cacheFields>
    <cacheField name="state_name" numFmtId="0">
      <sharedItems>
        <s v="Texas"/>
        <s v="California"/>
        <s v="Florida"/>
        <s v="Georgia"/>
        <s v="North Carolina"/>
        <s v="Ohio"/>
        <s v="Illinois"/>
        <s v="Tennessee"/>
        <s v="Pennsylvania"/>
        <s v="Michigan"/>
      </sharedItems>
    </cacheField>
    <cacheField name="number_crash" numFmtId="0">
      <sharedItems containsSemiMixedTypes="0" containsString="0" containsNumber="1" containsInteger="1">
        <n v="3513.0"/>
        <n v="3484.0"/>
        <n v="3091.0"/>
        <n v="1515.0"/>
        <n v="1409.0"/>
        <n v="1153.0"/>
        <n v="1075.0"/>
        <n v="1070.0"/>
        <n v="1060.0"/>
        <n v="1010.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B33" sheet="NO_3"/>
  </cacheSource>
  <cacheFields>
    <cacheField name="hour" numFmtId="0">
      <sharedItems containsSemiMixedTypes="0" containsString="0" containsNumber="1" containsInteger="1">
        <n v="0.0"/>
        <n v="1.0"/>
        <n v="2.0"/>
        <n v="3.0"/>
        <n v="4.0"/>
        <n v="5.0"/>
        <n v="6.0"/>
        <n v="7.0"/>
        <n v="8.0"/>
        <n v="9.0"/>
        <n v="10.0"/>
        <n v="11.0"/>
        <n v="12.0"/>
        <n v="13.0"/>
        <n v="14.0"/>
        <n v="15.0"/>
        <n v="16.0"/>
        <n v="17.0"/>
        <n v="18.0"/>
        <n v="19.0"/>
        <n v="20.0"/>
        <n v="21.0"/>
        <n v="22.0"/>
        <n v="23.0"/>
      </sharedItems>
    </cacheField>
    <cacheField name="total_crash" numFmtId="0">
      <sharedItems containsSemiMixedTypes="0" containsString="0" containsNumber="1" containsInteger="1">
        <n v="1028.0"/>
        <n v="1121.0"/>
        <n v="996.0"/>
        <n v="913.0"/>
        <n v="1055.0"/>
        <n v="1153.0"/>
        <n v="1314.0"/>
        <n v="1469.0"/>
        <n v="1548.0"/>
        <n v="1785.0"/>
        <n v="1851.0"/>
        <n v="2055.0"/>
        <n v="2029.0"/>
        <n v="2155.0"/>
        <n v="2067.0"/>
        <n v="2104.0"/>
        <n v="1927.0"/>
        <n v="1772.0"/>
        <n v="1563.0"/>
        <n v="1324.0"/>
        <n v="1213.0"/>
        <n v="1069.0"/>
        <n v="961.0"/>
        <n v="979.0"/>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0:B34" sheet="NO 3"/>
  </cacheSource>
  <cacheFields>
    <cacheField name="hourly_crash" numFmtId="0">
      <sharedItems containsSemiMixedTypes="0" containsString="0" containsNumber="1" containsInteger="1">
        <n v="6.0"/>
        <n v="5.0"/>
        <n v="14.0"/>
        <n v="0.0"/>
        <n v="15.0"/>
        <n v="7.0"/>
        <n v="8.0"/>
        <n v="16.0"/>
        <n v="23.0"/>
        <n v="1.0"/>
        <n v="13.0"/>
        <n v="19.0"/>
        <n v="3.0"/>
        <n v="22.0"/>
        <n v="20.0"/>
        <n v="11.0"/>
        <n v="9.0"/>
        <n v="12.0"/>
        <n v="2.0"/>
        <n v="17.0"/>
        <n v="18.0"/>
        <n v="10.0"/>
        <n v="21.0"/>
        <n v="4.0"/>
      </sharedItems>
    </cacheField>
    <cacheField name="total_crash" numFmtId="0">
      <sharedItems containsSemiMixedTypes="0" containsString="0" containsNumber="1" containsInteger="1">
        <n v="1309.0"/>
        <n v="1166.0"/>
        <n v="2077.0"/>
        <n v="1036.0"/>
        <n v="2102.0"/>
        <n v="1481.0"/>
        <n v="1564.0"/>
        <n v="1929.0"/>
        <n v="987.0"/>
        <n v="1149.0"/>
        <n v="2166.0"/>
        <n v="1299.0"/>
        <n v="883.0"/>
        <n v="931.0"/>
        <n v="1186.0"/>
        <n v="2041.0"/>
        <n v="1794.0"/>
        <n v="2058.0"/>
        <n v="985.0"/>
        <n v="1769.0"/>
        <n v="1537.0"/>
        <n v="1859.0"/>
        <n v="1051.0"/>
        <n v="1054.0"/>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2:D43" sheet="NO 3"/>
  </cacheSource>
  <cacheFields>
    <cacheField name="total_crash" numFmtId="0">
      <sharedItems containsSemiMixedTypes="0" containsString="0" containsNumber="1" containsInteger="1">
        <n v="2166.0"/>
      </sharedItems>
    </cacheField>
    <cacheField name="rural_land" numFmtId="0">
      <sharedItems containsSemiMixedTypes="0" containsString="0" containsNumber="1" containsInteger="1">
        <n v="859.0"/>
      </sharedItems>
    </cacheField>
    <cacheField name="urban_land" numFmtId="0">
      <sharedItems containsSemiMixedTypes="0" containsString="0" containsNumber="1" containsInteger="1">
        <n v="1277.0"/>
      </sharedItems>
    </cacheField>
  </cacheFields>
</pivotCacheDefinition>
</file>

<file path=xl/pivotCache/pivotCacheDefinition1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2:M43" sheet="NO 3"/>
  </cacheSource>
  <cacheFields>
    <cacheField name="total_crash" numFmtId="0">
      <sharedItems containsSemiMixedTypes="0" containsString="0" containsNumber="1" containsInteger="1">
        <n v="2166.0"/>
      </sharedItems>
    </cacheField>
    <cacheField name="rural_land" numFmtId="0">
      <sharedItems containsSemiMixedTypes="0" containsString="0" containsNumber="1" containsInteger="1">
        <n v="859.0"/>
      </sharedItems>
    </cacheField>
    <cacheField name="urban_land" numFmtId="0">
      <sharedItems containsSemiMixedTypes="0" containsString="0" containsNumber="1" containsInteger="1">
        <n v="1277.0"/>
      </sharedItems>
    </cacheField>
    <cacheField name="t_intersection" numFmtId="0">
      <sharedItems containsSemiMixedTypes="0" containsString="0" containsNumber="1" containsInteger="1">
        <n v="189.0"/>
      </sharedItems>
    </cacheField>
    <cacheField name="y_intersection" numFmtId="0">
      <sharedItems containsSemiMixedTypes="0" containsString="0" containsNumber="1" containsInteger="1">
        <n v="14.0"/>
      </sharedItems>
    </cacheField>
    <cacheField name="not_an_intersection" numFmtId="0">
      <sharedItems containsSemiMixedTypes="0" containsString="0" containsNumber="1" containsInteger="1">
        <n v="1590.0"/>
      </sharedItems>
    </cacheField>
    <cacheField name="other_intersection" numFmtId="0">
      <sharedItems containsSemiMixedTypes="0" containsString="0" containsNumber="1" containsInteger="1">
        <n v="6.0"/>
      </sharedItems>
    </cacheField>
    <cacheField name="more_than_four_intersection" numFmtId="0">
      <sharedItems containsSemiMixedTypes="0" containsString="0" containsNumber="1" containsInteger="1">
        <n v="5.0"/>
      </sharedItems>
    </cacheField>
    <cacheField name="four_intersection" numFmtId="0">
      <sharedItems containsSemiMixedTypes="0" containsString="0" containsNumber="1" containsInteger="1">
        <n v="358.0"/>
      </sharedItems>
    </cacheField>
    <cacheField name="l_intersection" numFmtId="0">
      <sharedItems containsSemiMixedTypes="0" containsString="0" containsNumber="1" containsInteger="1">
        <n v="1.0"/>
      </sharedItems>
    </cacheField>
    <cacheField name="traffic_circle" numFmtId="0">
      <sharedItems containsSemiMixedTypes="0" containsString="0" containsNumber="1" containsInteger="1">
        <n v="0.0"/>
      </sharedItems>
    </cacheField>
    <cacheField name="roundabout" numFmtId="0">
      <sharedItems containsSemiMixedTypes="0" containsString="0" containsNumber="1" containsInteger="1">
        <n v="3.0"/>
      </sharedItems>
    </cacheField>
  </cacheFields>
</pivotCacheDefinition>
</file>

<file path=xl/pivotCache/pivotCacheDefinition1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5:L96" sheet="NO 3"/>
  </cacheSource>
  <cacheFields>
    <cacheField name="hour" numFmtId="0">
      <sharedItems containsSemiMixedTypes="0" containsString="0" containsNumber="1" containsInteger="1">
        <n v="13.0"/>
      </sharedItems>
    </cacheField>
    <cacheField name="total_crash" numFmtId="0">
      <sharedItems containsSemiMixedTypes="0" containsString="0" containsNumber="1" containsInteger="1">
        <n v="859.0"/>
      </sharedItems>
    </cacheField>
    <cacheField name="rural_land" numFmtId="0">
      <sharedItems containsSemiMixedTypes="0" containsString="0" containsNumber="1" containsInteger="1">
        <n v="859.0"/>
      </sharedItems>
    </cacheField>
    <cacheField name="t_intersection" numFmtId="0">
      <sharedItems containsSemiMixedTypes="0" containsString="0" containsNumber="1" containsInteger="1">
        <n v="47.0"/>
      </sharedItems>
    </cacheField>
    <cacheField name="y_intersection" numFmtId="0">
      <sharedItems containsSemiMixedTypes="0" containsString="0" containsNumber="1" containsInteger="1">
        <n v="7.0"/>
      </sharedItems>
    </cacheField>
    <cacheField name="not_an_intersection" numFmtId="0">
      <sharedItems containsSemiMixedTypes="0" containsString="0" containsNumber="1" containsInteger="1">
        <n v="705.0"/>
      </sharedItems>
    </cacheField>
    <cacheField name="other_intersection" numFmtId="0">
      <sharedItems containsSemiMixedTypes="0" containsString="0" containsNumber="1" containsInteger="1">
        <n v="3.0"/>
      </sharedItems>
    </cacheField>
    <cacheField name="more_than_four_intersection" numFmtId="0">
      <sharedItems containsSemiMixedTypes="0" containsString="0" containsNumber="1" containsInteger="1">
        <n v="1.0"/>
      </sharedItems>
    </cacheField>
    <cacheField name="four_intersection" numFmtId="0">
      <sharedItems containsSemiMixedTypes="0" containsString="0" containsNumber="1" containsInteger="1">
        <n v="95.0"/>
      </sharedItems>
    </cacheField>
    <cacheField name="l_intersection" numFmtId="0">
      <sharedItems containsSemiMixedTypes="0" containsString="0" containsNumber="1" containsInteger="1">
        <n v="1.0"/>
      </sharedItems>
    </cacheField>
    <cacheField name="traffic_circle" numFmtId="0">
      <sharedItems containsSemiMixedTypes="0" containsString="0" containsNumber="1" containsInteger="1">
        <n v="0.0"/>
      </sharedItems>
    </cacheField>
    <cacheField name="roundabout" numFmtId="0">
      <sharedItems containsSemiMixedTypes="0" containsString="0" containsNumber="1" containsInteger="1">
        <n v="0.0"/>
      </sharedItems>
    </cacheField>
  </cacheFields>
</pivotCacheDefinition>
</file>

<file path=xl/pivotCache/pivotCacheDefinition1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21:B122" sheet="NO 3"/>
  </cacheSource>
  <cacheFields>
    <cacheField name="total_crash" numFmtId="0">
      <sharedItems containsSemiMixedTypes="0" containsString="0" containsNumber="1" containsInteger="1">
        <n v="2166.0"/>
      </sharedItems>
    </cacheField>
    <cacheField name="urban_not_an_intersection" numFmtId="0">
      <sharedItems containsSemiMixedTypes="0" containsString="0" containsNumber="1" containsInteger="1">
        <n v="705.0"/>
      </sharedItems>
    </cacheField>
  </cacheFields>
</pivotCacheDefinition>
</file>

<file path=xl/pivotCache/pivotCacheDefinition1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0:B34" sheet="Copy of NO 3"/>
  </cacheSource>
  <cacheFields>
    <cacheField name="hourly_crash" numFmtId="0">
      <sharedItems containsSemiMixedTypes="0" containsString="0" containsNumber="1" containsInteger="1">
        <n v="6.0"/>
        <n v="5.0"/>
        <n v="14.0"/>
        <n v="0.0"/>
        <n v="15.0"/>
        <n v="7.0"/>
        <n v="8.0"/>
        <n v="16.0"/>
        <n v="23.0"/>
        <n v="1.0"/>
        <n v="13.0"/>
        <n v="19.0"/>
        <n v="3.0"/>
        <n v="22.0"/>
        <n v="20.0"/>
        <n v="11.0"/>
        <n v="9.0"/>
        <n v="12.0"/>
        <n v="2.0"/>
        <n v="17.0"/>
        <n v="18.0"/>
        <n v="10.0"/>
        <n v="21.0"/>
        <n v="4.0"/>
      </sharedItems>
    </cacheField>
    <cacheField name="total_crash" numFmtId="0">
      <sharedItems containsSemiMixedTypes="0" containsString="0" containsNumber="1" containsInteger="1">
        <n v="1309.0"/>
        <n v="1166.0"/>
        <n v="2077.0"/>
        <n v="1036.0"/>
        <n v="2102.0"/>
        <n v="1481.0"/>
        <n v="1564.0"/>
        <n v="1929.0"/>
        <n v="987.0"/>
        <n v="1149.0"/>
        <n v="2166.0"/>
        <n v="1299.0"/>
        <n v="883.0"/>
        <n v="931.0"/>
        <n v="1186.0"/>
        <n v="2041.0"/>
        <n v="1794.0"/>
        <n v="2058.0"/>
        <n v="985.0"/>
        <n v="1769.0"/>
        <n v="1537.0"/>
        <n v="1859.0"/>
        <n v="1051.0"/>
        <n v="1054.0"/>
      </sharedItems>
    </cacheField>
  </cacheFields>
</pivotCacheDefinition>
</file>

<file path=xl/pivotCache/pivotCacheDefinition1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53:D54" sheet="Copy of NO 3"/>
  </cacheSource>
  <cacheFields>
    <cacheField name="total_crash" numFmtId="0">
      <sharedItems containsSemiMixedTypes="0" containsString="0" containsNumber="1" containsInteger="1">
        <n v="2166.0"/>
      </sharedItems>
    </cacheField>
    <cacheField name="rural_land" numFmtId="0">
      <sharedItems containsSemiMixedTypes="0" containsString="0" containsNumber="1" containsInteger="1">
        <n v="859.0"/>
      </sharedItems>
    </cacheField>
    <cacheField name="urban_land" numFmtId="0">
      <sharedItems containsSemiMixedTypes="0" containsString="0" containsNumber="1" containsInteger="1">
        <n v="1277.0"/>
      </sharedItems>
    </cacheField>
  </cacheFields>
</pivotCacheDefinition>
</file>

<file path=xl/pivotCache/pivotCacheDefinition1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53:M54" sheet="Copy of NO 3"/>
  </cacheSource>
  <cacheFields>
    <cacheField name="t_intersection" numFmtId="0">
      <sharedItems containsSemiMixedTypes="0" containsString="0" containsNumber="1" containsInteger="1">
        <n v="189.0"/>
      </sharedItems>
    </cacheField>
    <cacheField name="y_intersection" numFmtId="0">
      <sharedItems containsSemiMixedTypes="0" containsString="0" containsNumber="1" containsInteger="1">
        <n v="14.0"/>
      </sharedItems>
    </cacheField>
    <cacheField name="not_an_intersection" numFmtId="0">
      <sharedItems containsSemiMixedTypes="0" containsString="0" containsNumber="1" containsInteger="1">
        <n v="1590.0"/>
      </sharedItems>
    </cacheField>
    <cacheField name="other_intersection" numFmtId="0">
      <sharedItems containsSemiMixedTypes="0" containsString="0" containsNumber="1" containsInteger="1">
        <n v="6.0"/>
      </sharedItems>
    </cacheField>
    <cacheField name="more_than_four_intersection" numFmtId="0">
      <sharedItems containsSemiMixedTypes="0" containsString="0" containsNumber="1" containsInteger="1">
        <n v="5.0"/>
      </sharedItems>
    </cacheField>
    <cacheField name="four_intersection" numFmtId="0">
      <sharedItems containsSemiMixedTypes="0" containsString="0" containsNumber="1" containsInteger="1">
        <n v="358.0"/>
      </sharedItems>
    </cacheField>
    <cacheField name="l_intersection" numFmtId="0">
      <sharedItems containsSemiMixedTypes="0" containsString="0" containsNumber="1" containsInteger="1">
        <n v="1.0"/>
      </sharedItems>
    </cacheField>
    <cacheField name="traffic_circle" numFmtId="0">
      <sharedItems containsSemiMixedTypes="0" containsString="0" containsNumber="1" containsInteger="1">
        <n v="0.0"/>
      </sharedItems>
    </cacheField>
    <cacheField name="roundabout" numFmtId="0">
      <sharedItems containsSemiMixedTypes="0" containsString="0" containsNumber="1" containsInteger="1">
        <n v="3.0"/>
      </sharedItems>
    </cacheField>
  </cacheFields>
</pivotCacheDefinition>
</file>

<file path=xl/pivotCache/pivotCacheDefinition1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C11" sheet="NO__4"/>
  </cacheSource>
  <cacheFields>
    <cacheField name="number_of_drunk_drivers" numFmtId="0">
      <sharedItems containsSemiMixedTypes="0" containsString="0" containsNumber="1">
        <n v="9415.0"/>
        <n v="0.26557783983526556"/>
      </sharedItems>
    </cacheField>
    <cacheField name="other" numFmtId="0">
      <sharedItems containsSemiMixedTypes="0" containsString="0" containsNumber="1">
        <n v="26036.0"/>
        <n v="0.7344221601647344"/>
      </sharedItems>
    </cacheField>
    <cacheField name="consecutive_number" numFmtId="0">
      <sharedItems containsSemiMixedTypes="0" containsString="0" containsNumber="1" containsInteger="1">
        <n v="35451.0"/>
        <n v="1.0"/>
      </sharedItems>
    </cacheField>
    <cacheField name="Not Drunk Drivers" formula="consecutive_number-number_of_drunk_drivers" databaseField="0"/>
  </cacheFields>
</pivotCacheDefinition>
</file>

<file path=xl/pivotCache/pivotCacheDefinition2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B11" sheet="NO 4"/>
  </cacheSource>
  <cacheFields>
    <cacheField name="cases" numFmtId="0">
      <sharedItems>
        <s v="Drunk Drivers"/>
        <s v="Not Drunk Drivers"/>
      </sharedItems>
    </cacheField>
    <cacheField name="total_cases" numFmtId="0">
      <sharedItems containsSemiMixedTypes="0" containsString="0" containsNumber="1" containsInteger="1">
        <n v="9121.0"/>
        <n v="26292.0"/>
      </sharedItems>
    </cacheField>
  </cacheFields>
</pivotCacheDefinition>
</file>

<file path=xl/pivotCache/pivotCacheDefinition2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8:B10" sheet="NO 5"/>
  </cacheSource>
  <cacheFields>
    <cacheField name="land_use_name_clean" numFmtId="0">
      <sharedItems>
        <s v="Urban"/>
        <s v="Rural"/>
      </sharedItems>
    </cacheField>
    <cacheField name="number_crash" numFmtId="0">
      <sharedItems containsSemiMixedTypes="0" containsString="0" containsNumber="1" containsInteger="1">
        <n v="20102.0"/>
        <n v="14829.0"/>
      </sharedItems>
    </cacheField>
  </cacheFields>
</pivotCacheDefinition>
</file>

<file path=xl/pivotCache/pivotCacheDefinition2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7:B24" sheet="NO 6"/>
  </cacheSource>
  <cacheFields>
    <cacheField name="days" numFmtId="0">
      <sharedItems>
        <s v="Sunday   "/>
        <s v="Monday   "/>
        <s v="Tuesday  "/>
        <s v="Wednesday"/>
        <s v="Thursday "/>
        <s v="Friday   "/>
        <s v="Saturday "/>
      </sharedItems>
    </cacheField>
    <cacheField name="total_crash" numFmtId="0">
      <sharedItems containsSemiMixedTypes="0" containsString="0" containsNumber="1" containsInteger="1">
        <n v="6339.0"/>
        <n v="4958.0"/>
        <n v="4347.0"/>
        <n v="4484.0"/>
        <n v="4551.0"/>
        <n v="4898.0"/>
        <n v="5836.0"/>
      </sharedItems>
    </cacheField>
  </cacheFields>
</pivotCacheDefinition>
</file>

<file path=xl/pivotCache/pivotCacheDefinition2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8:C20" sheet="NO 7"/>
  </cacheSource>
  <cacheFields>
    <cacheField name="month_crash" numFmtId="0">
      <sharedItems>
        <s v="May      "/>
        <s v="September"/>
        <s v="January  "/>
        <s v="July     "/>
        <s v="February "/>
        <s v="December "/>
        <s v="June     "/>
        <s v="March    "/>
        <s v="August   "/>
        <s v="November "/>
        <s v="October  "/>
        <s v="April    "/>
      </sharedItems>
    </cacheField>
    <cacheField name="total_crash" numFmtId="0">
      <sharedItems containsSemiMixedTypes="0" containsString="0" containsNumber="1" containsInteger="1">
        <n v="2852.0"/>
        <n v="3392.0"/>
        <n v="2457.0"/>
        <n v="3467.0"/>
        <n v="2438.0"/>
        <n v="2938.0"/>
        <n v="3343.0"/>
        <n v="2330.0"/>
        <n v="3469.0"/>
        <n v="3106.0"/>
        <n v="3517.0"/>
        <n v="2104.0"/>
      </sharedItems>
    </cacheField>
    <cacheField name="total_fatality" numFmtId="0">
      <sharedItems containsSemiMixedTypes="0" containsString="0" containsNumber="1" containsInteger="1">
        <n v="3088.0"/>
        <n v="3688.0"/>
        <n v="2637.0"/>
        <n v="3773.0"/>
        <n v="2659.0"/>
        <n v="3200.0"/>
        <n v="3690.0"/>
        <n v="2516.0"/>
        <n v="3743.0"/>
        <n v="3376.0"/>
        <n v="3788.0"/>
        <n v="2291.0"/>
      </sharedItems>
    </cacheField>
    <cacheField name="% Fatality Q1" formula="total_fatality/total_crash" databaseField="0"/>
    <cacheField name="% Fatality Q4" formula="total_fatality/total_crash"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name="NO_1" cacheId="0" dataCaption="" compact="0" compactData="0">
  <location ref="D1:E15" firstHeaderRow="0" firstDataRow="1" firstDataCol="0"/>
  <pivotFields>
    <pivotField name="atmospheric_conditions_1_name" axis="axisRow" compact="0" outline="0" multipleItemSelectionAllowed="1" showAll="0" sortType="ascending">
      <items>
        <item x="3"/>
        <item x="7"/>
        <item x="5"/>
        <item x="12"/>
        <item x="8"/>
        <item x="6"/>
        <item x="9"/>
        <item x="2"/>
        <item x="11"/>
        <item x="1"/>
        <item x="0"/>
        <item x="4"/>
        <item x="10"/>
        <item t="default"/>
      </items>
    </pivotField>
    <pivotField name="total_atmospheric_conditions_1_name" dataField="1" compact="0" outline="0" multipleItemSelectionAllowed="1" showAll="0">
      <items>
        <item x="0"/>
        <item x="1"/>
        <item x="2"/>
        <item x="3"/>
        <item x="4"/>
        <item x="5"/>
        <item x="6"/>
        <item x="7"/>
        <item x="8"/>
        <item x="9"/>
        <item x="10"/>
        <item x="11"/>
        <item t="default"/>
      </items>
    </pivotField>
  </pivotFields>
  <rowFields>
    <field x="0"/>
  </rowFields>
  <dataFields>
    <dataField name="SUM of total_atmospheric_conditions_1_name" fld="1" baseField="0"/>
  </dataFields>
</pivotTableDefinition>
</file>

<file path=xl/pivotTables/pivotTable2.xml><?xml version="1.0" encoding="utf-8"?>
<pivotTableDefinition xmlns="http://schemas.openxmlformats.org/spreadsheetml/2006/main" name="NO_1 2" cacheId="1" dataCaption="" compact="0" compactData="0">
  <location ref="D19:E31" firstHeaderRow="0" firstDataRow="1" firstDataCol="0"/>
  <pivotFields>
    <pivotField name="type_of_intersection_name" axis="axisRow" compact="0" outline="0" multipleItemSelectionAllowed="1" showAll="0" sortType="ascending">
      <items>
        <item x="3"/>
        <item x="5"/>
        <item x="6"/>
        <item x="1"/>
        <item x="4"/>
        <item x="2"/>
        <item x="9"/>
        <item x="8"/>
        <item x="10"/>
        <item x="7"/>
        <item x="0"/>
        <item t="default"/>
      </items>
    </pivotField>
    <pivotField name="total_type_of_intersection_name" dataField="1" compact="0" outline="0" multipleItemSelectionAllowed="1" showAll="0">
      <items>
        <item x="0"/>
        <item x="1"/>
        <item x="2"/>
        <item x="3"/>
        <item x="4"/>
        <item x="5"/>
        <item x="6"/>
        <item x="7"/>
        <item x="8"/>
        <item x="9"/>
        <item t="default"/>
      </items>
    </pivotField>
  </pivotFields>
  <rowFields>
    <field x="0"/>
  </rowFields>
  <dataFields>
    <dataField name="SUM of total_type_of_intersection_name" fld="1" baseField="0"/>
  </dataFields>
</pivotTableDefinition>
</file>

<file path=xl/pivotTables/pivotTable3.xml><?xml version="1.0" encoding="utf-8"?>
<pivotTableDefinition xmlns="http://schemas.openxmlformats.org/spreadsheetml/2006/main" name="NO_1 3" cacheId="2" dataCaption="" compact="0" compactData="0">
  <location ref="D38:E48" firstHeaderRow="0" firstDataRow="1" firstDataCol="0"/>
  <pivotFields>
    <pivotField name="light_condition_name" axis="axisRow" compact="0" outline="0" multipleItemSelectionAllowed="1" showAll="0" sortType="ascending">
      <items>
        <item x="4"/>
        <item x="5"/>
        <item x="0"/>
        <item x="6"/>
        <item x="8"/>
        <item x="1"/>
        <item x="7"/>
        <item x="3"/>
        <item x="2"/>
        <item t="default"/>
      </items>
    </pivotField>
    <pivotField name="total_light_condition_name" dataField="1" compact="0" outline="0" multipleItemSelectionAllowed="1" showAll="0">
      <items>
        <item x="0"/>
        <item x="1"/>
        <item x="2"/>
        <item x="3"/>
        <item x="4"/>
        <item x="5"/>
        <item x="6"/>
        <item x="7"/>
        <item x="8"/>
        <item t="default"/>
      </items>
    </pivotField>
  </pivotFields>
  <rowFields>
    <field x="0"/>
  </rowFields>
  <dataFields>
    <dataField name="SUM of total_light_condition_name" fld="1" baseField="0"/>
  </dataFields>
</pivotTableDefinition>
</file>

<file path=xl/pivotTables/pivotTable4.xml><?xml version="1.0" encoding="utf-8"?>
<pivotTableDefinition xmlns="http://schemas.openxmlformats.org/spreadsheetml/2006/main" name="NO_1 4" cacheId="3" dataCaption="" compact="0" compactData="0">
  <location ref="D56:E68" firstHeaderRow="0" firstDataRow="1" firstDataCol="0"/>
  <pivotFields>
    <pivotField name="manner_of_collision_name" axis="axisRow" compact="0" outline="0" multipleItemSelectionAllowed="1" showAll="0" sortType="ascending">
      <items>
        <item x="3"/>
        <item x="10"/>
        <item x="4"/>
        <item x="6"/>
        <item x="1"/>
        <item x="5"/>
        <item x="7"/>
        <item x="0"/>
        <item x="9"/>
        <item x="2"/>
        <item x="8"/>
        <item t="default"/>
      </items>
    </pivotField>
    <pivotField name="total_manner_of_collision_name" dataField="1" compact="0" outline="0" multipleItemSelectionAllowed="1" showAll="0">
      <items>
        <item x="0"/>
        <item x="1"/>
        <item x="2"/>
        <item x="3"/>
        <item x="4"/>
        <item x="5"/>
        <item x="6"/>
        <item x="7"/>
        <item x="8"/>
        <item x="9"/>
        <item x="10"/>
        <item t="default"/>
      </items>
    </pivotField>
  </pivotFields>
  <rowFields>
    <field x="0"/>
  </rowFields>
  <dataFields>
    <dataField name="SUM of total_manner_of_collision_name" fld="1" baseField="0"/>
  </dataFields>
</pivotTableDefinition>
</file>

<file path=xl/pivotTables/pivotTable5.xml><?xml version="1.0" encoding="utf-8"?>
<pivotTableDefinition xmlns="http://schemas.openxmlformats.org/spreadsheetml/2006/main" name="NO 1" cacheId="4" dataCaption="" rowGrandTotals="0" compact="0" compactData="0">
  <location ref="A22:B33" firstHeaderRow="0" firstDataRow="1" firstDataCol="0"/>
  <pivotFields>
    <pivotField name="Atmosperic Conditon" axis="axisRow" compact="0"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total_crash" dataField="1" compact="0" outline="0" multipleItemSelectionAllowed="1" showAll="0">
      <items>
        <item x="0"/>
        <item x="1"/>
        <item x="2"/>
        <item x="3"/>
        <item x="4"/>
        <item x="5"/>
        <item x="6"/>
        <item x="7"/>
        <item x="8"/>
        <item x="9"/>
        <item t="default"/>
      </items>
    </pivotField>
  </pivotFields>
  <rowFields>
    <field x="0"/>
  </rowFields>
  <dataFields>
    <dataField name="Total Crash" fld="1" baseField="0"/>
  </dataFields>
</pivotTableDefinition>
</file>

<file path=xl/pivotTables/pivotTable6.xml><?xml version="1.0" encoding="utf-8"?>
<pivotTableDefinition xmlns="http://schemas.openxmlformats.org/spreadsheetml/2006/main" name="NO 1 2" cacheId="5" dataCaption="" rowGrandTotals="0" compact="0" compactData="0">
  <location ref="A51:B60" firstHeaderRow="0" firstDataRow="1" firstDataCol="0"/>
  <pivotFields>
    <pivotField name="Type Intersection" axis="axisRow" compact="0"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total_crash" dataField="1" compact="0" outline="0" multipleItemSelectionAllowed="1" showAll="0">
      <items>
        <item x="0"/>
        <item x="1"/>
        <item x="2"/>
        <item x="3"/>
        <item x="4"/>
        <item x="5"/>
        <item x="6"/>
        <item x="7"/>
        <item x="8"/>
        <item t="default"/>
      </items>
    </pivotField>
  </pivotFields>
  <rowFields>
    <field x="0"/>
  </rowFields>
  <dataFields>
    <dataField name="Total Crash" fld="1" baseField="0"/>
  </dataFields>
</pivotTableDefinition>
</file>

<file path=xl/pivotTables/pivotTable7.xml><?xml version="1.0" encoding="utf-8"?>
<pivotTableDefinition xmlns="http://schemas.openxmlformats.org/spreadsheetml/2006/main" name="NO 1 3" cacheId="6" dataCaption="" rowGrandTotals="0" compact="0" compactData="0">
  <location ref="A78:B85" firstHeaderRow="0" firstDataRow="1" firstDataCol="0"/>
  <pivotFields>
    <pivotField name="Light Condition"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total_crash" dataField="1" compact="0" outline="0" multipleItemSelectionAllowed="1" showAll="0">
      <items>
        <item x="0"/>
        <item x="1"/>
        <item x="2"/>
        <item x="3"/>
        <item x="4"/>
        <item x="5"/>
        <item x="6"/>
        <item t="default"/>
      </items>
    </pivotField>
  </pivotFields>
  <rowFields>
    <field x="0"/>
  </rowFields>
  <dataFields>
    <dataField name="Total Crash" fld="1" baseField="0"/>
  </dataFields>
</pivotTableDefinition>
</file>

<file path=xl/pivotTables/pivotTable8.xml><?xml version="1.0" encoding="utf-8"?>
<pivotTableDefinition xmlns="http://schemas.openxmlformats.org/spreadsheetml/2006/main" name="NO 1 4" cacheId="7" dataCaption="" rowGrandTotals="0" compact="0" compactData="0">
  <location ref="A106:B115" firstHeaderRow="0" firstDataRow="1" firstDataCol="0"/>
  <pivotFields>
    <pivotField name="Manner of Cillision" axis="axisRow" compact="0"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total_crash" dataField="1" compact="0" outline="0" multipleItemSelectionAllowed="1" showAll="0">
      <items>
        <item x="0"/>
        <item x="1"/>
        <item x="2"/>
        <item x="3"/>
        <item x="4"/>
        <item x="5"/>
        <item x="6"/>
        <item x="7"/>
        <item x="8"/>
        <item t="default"/>
      </items>
    </pivotField>
  </pivotFields>
  <rowFields>
    <field x="0"/>
  </rowFields>
  <dataFields>
    <dataField name="Total Crash" fld="1" baseField="0"/>
  </dataFields>
</pivotTableDefinition>
</file>

<file path=xl/pivotTables/pivotTable9.xml><?xml version="1.0" encoding="utf-8"?>
<pivotTableDefinition xmlns="http://schemas.openxmlformats.org/spreadsheetml/2006/main" name="NO 2" cacheId="8" dataCaption="" rowGrandTotals="0" compact="0" compactData="0">
  <location ref="K9:L19" firstHeaderRow="0" firstDataRow="1" firstDataCol="0"/>
  <pivotFields>
    <pivotField name="State Name"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number_crash" dataField="1" compact="0" outline="0" multipleItemSelectionAllowed="1" showAll="0">
      <items>
        <item x="0"/>
        <item x="1"/>
        <item x="2"/>
        <item x="3"/>
        <item x="4"/>
        <item x="5"/>
        <item x="6"/>
        <item x="7"/>
        <item x="8"/>
        <item x="9"/>
        <item t="default"/>
      </items>
    </pivotField>
  </pivotFields>
  <rowFields>
    <field x="0"/>
  </rowFields>
  <dataFields>
    <dataField name="Total Crash" fld="1" baseField="0"/>
  </dataFields>
</pivotTableDefinition>
</file>

<file path=xl/pivotTables/pivotTable10.xml><?xml version="1.0" encoding="utf-8"?>
<pivotTableDefinition xmlns="http://schemas.openxmlformats.org/spreadsheetml/2006/main" name="NO_3" cacheId="9" dataCaption="" rowGrandTotals="0" compact="0" compactData="0">
  <location ref="D10:E34" firstHeaderRow="0" firstDataRow="1" firstDataCol="0"/>
  <pivotFields>
    <pivotField name="hour"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t="default"/>
      </items>
    </pivotField>
    <pivotField name="total_cras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dataFields>
    <dataField name="SUM of total_crash" fld="1" baseField="0"/>
  </dataFields>
</pivotTableDefinition>
</file>

<file path=xl/pivotTables/pivotTable11.xml><?xml version="1.0" encoding="utf-8"?>
<pivotTableDefinition xmlns="http://schemas.openxmlformats.org/spreadsheetml/2006/main" name="NO 3" cacheId="10" dataCaption="" rowGrandTotals="0" compact="0" compactData="0">
  <location ref="D10:E34" firstHeaderRow="0" firstDataRow="1" firstDataCol="0"/>
  <pivotFields>
    <pivotField name="Hourly Crash" axis="axisRow" compact="0" outline="0" multipleItemSelectionAllowed="1" showAll="0" sortType="ascending">
      <items>
        <item x="3"/>
        <item x="9"/>
        <item x="18"/>
        <item x="12"/>
        <item x="23"/>
        <item x="1"/>
        <item x="0"/>
        <item x="5"/>
        <item x="6"/>
        <item x="16"/>
        <item x="21"/>
        <item x="15"/>
        <item x="17"/>
        <item x="10"/>
        <item x="2"/>
        <item x="4"/>
        <item x="7"/>
        <item x="19"/>
        <item x="20"/>
        <item x="11"/>
        <item x="14"/>
        <item x="22"/>
        <item x="13"/>
        <item x="8"/>
        <item t="default"/>
      </items>
    </pivotField>
    <pivotField name="total_cras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dataFields>
    <dataField name="Total Crash" fld="1" baseField="0"/>
  </dataFields>
</pivotTableDefinition>
</file>

<file path=xl/pivotTables/pivotTable12.xml><?xml version="1.0" encoding="utf-8"?>
<pivotTableDefinition xmlns="http://schemas.openxmlformats.org/spreadsheetml/2006/main" name="NO 3 2" cacheId="11" dataCaption="" rowGrandTotals="0" compact="0" compactData="0">
  <location ref="A46:C47" firstHeaderRow="0" firstDataRow="2" firstDataCol="0"/>
  <pivotFields>
    <pivotField name="total_crash" dataField="1" compact="0" outline="0" multipleItemSelectionAllowed="1" showAll="0">
      <items>
        <item x="0"/>
        <item t="default"/>
      </items>
    </pivotField>
    <pivotField name="rural_land" axis="axisRow" compact="0" outline="0" multipleItemSelectionAllowed="1" showAll="0" sortType="ascending">
      <items>
        <item x="0"/>
        <item t="default"/>
      </items>
    </pivotField>
    <pivotField name="urban_land" axis="axisRow" compact="0" outline="0" multipleItemSelectionAllowed="1" showAll="0" sortType="ascending" defaultSubtotal="0">
      <items>
        <item x="0"/>
      </items>
    </pivotField>
  </pivotFields>
  <rowFields>
    <field x="2"/>
    <field x="1"/>
  </rowFields>
  <dataFields>
    <dataField name="SUM of total_crash" fld="0" baseField="0"/>
  </dataFields>
</pivotTableDefinition>
</file>

<file path=xl/pivotTables/pivotTable13.xml><?xml version="1.0" encoding="utf-8"?>
<pivotTableDefinition xmlns="http://schemas.openxmlformats.org/spreadsheetml/2006/main" name="NO 3 3" cacheId="12" dataCaption="" rowGrandTotals="0" compact="0" compactData="0">
  <location ref="A50:J51" firstHeaderRow="0" firstDataRow="9" firstDataCol="0"/>
  <pivotFields>
    <pivotField name="total_crash" dataField="1" compact="0" outline="0" multipleItemSelectionAllowed="1" showAll="0">
      <items>
        <item x="0"/>
        <item t="default"/>
      </items>
    </pivotField>
    <pivotField name="rural_land" compact="0" outline="0" multipleItemSelectionAllowed="1" showAll="0">
      <items>
        <item x="0"/>
        <item t="default"/>
      </items>
    </pivotField>
    <pivotField name="urban_land" compact="0" outline="0" multipleItemSelectionAllowed="1" showAll="0">
      <items>
        <item x="0"/>
        <item t="default"/>
      </items>
    </pivotField>
    <pivotField name="t_intersection" axis="axisRow" compact="0" outline="0" multipleItemSelectionAllowed="1" showAll="0" sortType="ascending" defaultSubtotal="0">
      <items>
        <item x="0"/>
      </items>
    </pivotField>
    <pivotField name="y_intersection" axis="axisRow" compact="0" outline="0" multipleItemSelectionAllowed="1" showAll="0" sortType="ascending" defaultSubtotal="0">
      <items>
        <item x="0"/>
      </items>
    </pivotField>
    <pivotField name="not_an_intersection" axis="axisRow" compact="0" outline="0" multipleItemSelectionAllowed="1" showAll="0" sortType="ascending" defaultSubtotal="0">
      <items>
        <item x="0"/>
      </items>
    </pivotField>
    <pivotField name="other_intersection" axis="axisRow" compact="0" outline="0" multipleItemSelectionAllowed="1" showAll="0" sortType="ascending" defaultSubtotal="0">
      <items>
        <item x="0"/>
      </items>
    </pivotField>
    <pivotField name="more_than_four_intersection" axis="axisRow" compact="0" outline="0" multipleItemSelectionAllowed="1" showAll="0" sortType="ascending" defaultSubtotal="0">
      <items>
        <item x="0"/>
      </items>
    </pivotField>
    <pivotField name="four_intersection" axis="axisRow" compact="0" outline="0" multipleItemSelectionAllowed="1" showAll="0" sortType="ascending" defaultSubtotal="0">
      <items>
        <item x="0"/>
      </items>
    </pivotField>
    <pivotField name="l_intersection" axis="axisRow" compact="0" outline="0" multipleItemSelectionAllowed="1" showAll="0" sortType="ascending" defaultSubtotal="0">
      <items>
        <item x="0"/>
      </items>
    </pivotField>
    <pivotField name="traffic_circle" axis="axisRow" compact="0" outline="0" multipleItemSelectionAllowed="1" showAll="0" sortType="ascending" defaultSubtotal="0">
      <items>
        <item x="0"/>
      </items>
    </pivotField>
    <pivotField name="roundabout" axis="axisRow" compact="0" outline="0" multipleItemSelectionAllowed="1" showAll="0" sortType="ascending">
      <items>
        <item x="0"/>
        <item t="default"/>
      </items>
    </pivotField>
  </pivotFields>
  <rowFields>
    <field x="3"/>
    <field x="8"/>
    <field x="4"/>
    <field x="5"/>
    <field x="6"/>
    <field x="7"/>
    <field x="9"/>
    <field x="10"/>
    <field x="11"/>
  </rowFields>
  <dataFields>
    <dataField name="SUM of total_crash" fld="0" baseField="0"/>
  </dataFields>
</pivotTableDefinition>
</file>

<file path=xl/pivotTables/pivotTable14.xml><?xml version="1.0" encoding="utf-8"?>
<pivotTableDefinition xmlns="http://schemas.openxmlformats.org/spreadsheetml/2006/main" name="NO 3 4" cacheId="13" dataCaption="" rowGrandTotals="0" compact="0" compactData="0">
  <location ref="A99:I100" firstHeaderRow="0" firstDataRow="8" firstDataCol="0"/>
  <pivotFields>
    <pivotField name="hour" compact="0" outline="0" multipleItemSelectionAllowed="1" showAll="0">
      <items>
        <item x="0"/>
        <item t="default"/>
      </items>
    </pivotField>
    <pivotField name="total_crash" dataField="1" compact="0" outline="0" multipleItemSelectionAllowed="1" showAll="0">
      <items>
        <item x="0"/>
        <item t="default"/>
      </items>
    </pivotField>
    <pivotField name="rural_land" compact="0" outline="0" multipleItemSelectionAllowed="1" showAll="0">
      <items>
        <item x="0"/>
        <item t="default"/>
      </items>
    </pivotField>
    <pivotField name="t_intersection" axis="axisRow" compact="0" outline="0" multipleItemSelectionAllowed="1" showAll="0" sortType="ascending" defaultSubtotal="0">
      <items>
        <item x="0"/>
      </items>
    </pivotField>
    <pivotField name="y_intersection" axis="axisRow" compact="0" outline="0" multipleItemSelectionAllowed="1" showAll="0" sortType="ascending" defaultSubtotal="0">
      <items>
        <item x="0"/>
      </items>
    </pivotField>
    <pivotField name="not_an_intersection" axis="axisRow" compact="0" outline="0" multipleItemSelectionAllowed="1" showAll="0" sortType="ascending" defaultSubtotal="0">
      <items>
        <item x="0"/>
      </items>
    </pivotField>
    <pivotField name="other_intersection" axis="axisRow" compact="0" outline="0" multipleItemSelectionAllowed="1" showAll="0" sortType="ascending" defaultSubtotal="0">
      <items>
        <item x="0"/>
      </items>
    </pivotField>
    <pivotField name="more_than_four_intersection" axis="axisRow" compact="0" outline="0" multipleItemSelectionAllowed="1" showAll="0" sortType="ascending" defaultSubtotal="0">
      <items>
        <item x="0"/>
      </items>
    </pivotField>
    <pivotField name="four_intersection" axis="axisRow" compact="0" outline="0" multipleItemSelectionAllowed="1" showAll="0" sortType="ascending" defaultSubtotal="0">
      <items>
        <item x="0"/>
      </items>
    </pivotField>
    <pivotField name="l_intersection" axis="axisRow" compact="0" outline="0" multipleItemSelectionAllowed="1" showAll="0" sortType="ascending" defaultSubtotal="0">
      <items>
        <item x="0"/>
      </items>
    </pivotField>
    <pivotField name="traffic_circle" axis="axisRow" compact="0" outline="0" multipleItemSelectionAllowed="1" showAll="0" sortType="ascending">
      <items>
        <item x="0"/>
        <item t="default"/>
      </items>
    </pivotField>
    <pivotField name="roundabout" compact="0" outline="0" multipleItemSelectionAllowed="1" showAll="0">
      <items>
        <item x="0"/>
        <item t="default"/>
      </items>
    </pivotField>
  </pivotFields>
  <rowFields>
    <field x="3"/>
    <field x="4"/>
    <field x="5"/>
    <field x="6"/>
    <field x="7"/>
    <field x="8"/>
    <field x="9"/>
    <field x="10"/>
  </rowFields>
  <dataFields>
    <dataField name="SUM of total_crash" fld="1" baseField="0"/>
  </dataFields>
</pivotTableDefinition>
</file>

<file path=xl/pivotTables/pivotTable15.xml><?xml version="1.0" encoding="utf-8"?>
<pivotTableDefinition xmlns="http://schemas.openxmlformats.org/spreadsheetml/2006/main" name="NO 3 5" cacheId="14" dataCaption="" rowGrandTotals="0" compact="0" compactData="0">
  <location ref="A125:B126" firstHeaderRow="0" firstDataRow="1" firstDataCol="0"/>
  <pivotFields>
    <pivotField name="total_crash" dataField="1" compact="0" outline="0" multipleItemSelectionAllowed="1" showAll="0">
      <items>
        <item x="0"/>
        <item t="default"/>
      </items>
    </pivotField>
    <pivotField name="urban_not_an_intersection" axis="axisRow" compact="0" outline="0" multipleItemSelectionAllowed="1" showAll="0" sortType="ascending">
      <items>
        <item x="0"/>
        <item t="default"/>
      </items>
    </pivotField>
  </pivotFields>
  <rowFields>
    <field x="1"/>
  </rowFields>
  <dataFields>
    <dataField name="SUM of total_crash" fld="0" baseField="0"/>
  </dataFields>
</pivotTableDefinition>
</file>

<file path=xl/pivotTables/pivotTable16.xml><?xml version="1.0" encoding="utf-8"?>
<pivotTableDefinition xmlns="http://schemas.openxmlformats.org/spreadsheetml/2006/main" name="Copy of NO 3" cacheId="15" dataCaption="" rowGrandTotals="0" compact="0" compactData="0">
  <location ref="D10:E34" firstHeaderRow="0" firstDataRow="1" firstDataCol="0"/>
  <pivotFields>
    <pivotField name="Hourly Crash" axis="axisRow" compact="0" outline="0" multipleItemSelectionAllowed="1" showAll="0" sortType="ascending">
      <items>
        <item x="3"/>
        <item x="9"/>
        <item x="18"/>
        <item x="12"/>
        <item x="23"/>
        <item x="1"/>
        <item x="0"/>
        <item x="5"/>
        <item x="6"/>
        <item x="16"/>
        <item x="21"/>
        <item x="15"/>
        <item x="17"/>
        <item x="10"/>
        <item x="2"/>
        <item x="4"/>
        <item x="7"/>
        <item x="19"/>
        <item x="20"/>
        <item x="11"/>
        <item x="14"/>
        <item x="22"/>
        <item x="13"/>
        <item x="8"/>
        <item t="default"/>
      </items>
    </pivotField>
    <pivotField name="total_cras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dataFields>
    <dataField name="Total Crash" fld="1" baseField="0"/>
  </dataFields>
</pivotTableDefinition>
</file>

<file path=xl/pivotTables/pivotTable17.xml><?xml version="1.0" encoding="utf-8"?>
<pivotTableDefinition xmlns="http://schemas.openxmlformats.org/spreadsheetml/2006/main" name="Copy of NO 3 2" cacheId="16" dataCaption="" rowGrandTotals="0" compact="0" compactData="0">
  <location ref="A56:C57" firstHeaderRow="0" firstDataRow="2" firstDataCol="0"/>
  <pivotFields>
    <pivotField name="total_crash" dataField="1" compact="0" outline="0" multipleItemSelectionAllowed="1" showAll="0">
      <items>
        <item x="0"/>
        <item t="default"/>
      </items>
    </pivotField>
    <pivotField name="rural_land" axis="axisRow" compact="0" outline="0" multipleItemSelectionAllowed="1" showAll="0" sortType="ascending">
      <items>
        <item x="0"/>
        <item t="default"/>
      </items>
    </pivotField>
    <pivotField name="urban_land" axis="axisRow" compact="0" outline="0" multipleItemSelectionAllowed="1" showAll="0" sortType="ascending" defaultSubtotal="0">
      <items>
        <item x="0"/>
      </items>
    </pivotField>
  </pivotFields>
  <rowFields>
    <field x="2"/>
    <field x="1"/>
  </rowFields>
  <dataFields>
    <dataField name="SUM of total_crash" fld="0" baseField="0"/>
  </dataFields>
</pivotTableDefinition>
</file>

<file path=xl/pivotTables/pivotTable18.xml><?xml version="1.0" encoding="utf-8"?>
<pivotTableDefinition xmlns="http://schemas.openxmlformats.org/spreadsheetml/2006/main" name="Copy of NO 3 3" cacheId="17" dataCaption="" rowGrandTotals="0" compact="0" compactData="0">
  <location ref="A60:J61" firstHeaderRow="0" firstDataRow="9" firstDataCol="0"/>
  <pivotFields>
    <pivotField name="t_intersection" axis="axisRow" compact="0" outline="0" multipleItemSelectionAllowed="1" showAll="0" sortType="ascending" defaultSubtotal="0">
      <items>
        <item x="0"/>
      </items>
    </pivotField>
    <pivotField name="y_intersection" axis="axisRow" compact="0" outline="0" multipleItemSelectionAllowed="1" showAll="0" sortType="ascending" defaultSubtotal="0">
      <items>
        <item x="0"/>
      </items>
    </pivotField>
    <pivotField name="not_an_intersection" axis="axisRow" compact="0" outline="0" multipleItemSelectionAllowed="1" showAll="0" sortType="ascending" defaultSubtotal="0">
      <items>
        <item x="0"/>
      </items>
    </pivotField>
    <pivotField name="other_intersection" axis="axisRow" compact="0" outline="0" multipleItemSelectionAllowed="1" showAll="0" sortType="ascending" defaultSubtotal="0">
      <items>
        <item x="0"/>
      </items>
    </pivotField>
    <pivotField name="more_than_four_intersection" axis="axisRow" compact="0" outline="0" multipleItemSelectionAllowed="1" showAll="0" sortType="ascending" defaultSubtotal="0">
      <items>
        <item x="0"/>
      </items>
    </pivotField>
    <pivotField name="four_intersection" axis="axisRow" compact="0" outline="0" multipleItemSelectionAllowed="1" showAll="0" sortType="ascending" defaultSubtotal="0">
      <items>
        <item x="0"/>
      </items>
    </pivotField>
    <pivotField name="l_intersection" axis="axisRow" compact="0" outline="0" multipleItemSelectionAllowed="1" showAll="0" sortType="ascending" defaultSubtotal="0">
      <items>
        <item x="0"/>
      </items>
    </pivotField>
    <pivotField name="traffic_circle" axis="axisRow" compact="0" outline="0" multipleItemSelectionAllowed="1" showAll="0" sortType="ascending" defaultSubtotal="0">
      <items>
        <item x="0"/>
      </items>
    </pivotField>
    <pivotField name="roundabout" axis="axisRow" compact="0" outline="0" multipleItemSelectionAllowed="1" showAll="0" sortType="ascending">
      <items>
        <item x="0"/>
        <item t="default"/>
      </items>
    </pivotField>
  </pivotFields>
  <rowFields>
    <field x="0"/>
    <field x="1"/>
    <field x="2"/>
    <field x="3"/>
    <field x="4"/>
    <field x="5"/>
    <field x="6"/>
    <field x="7"/>
    <field x="8"/>
  </rowFields>
</pivotTableDefinition>
</file>

<file path=xl/pivotTables/pivotTable19.xml><?xml version="1.0" encoding="utf-8"?>
<pivotTableDefinition xmlns="http://schemas.openxmlformats.org/spreadsheetml/2006/main" name="NO__4" cacheId="18" dataCaption="" rowGrandTotals="0" compact="0" compactData="0">
  <location ref="A14:B16" firstHeaderRow="0" firstDataRow="1" firstDataCol="0"/>
  <pivotFields>
    <pivotField name="number_of_drunk_drivers" compact="0" outline="0" multipleItemSelectionAllowed="1" showAll="0">
      <items>
        <item x="0"/>
        <item x="1"/>
        <item t="default"/>
      </items>
    </pivotField>
    <pivotField name="other" compact="0" outline="0" multipleItemSelectionAllowed="1" showAll="0">
      <items>
        <item x="0"/>
        <item x="1"/>
        <item t="default"/>
      </items>
    </pivotField>
    <pivotField name="consecutive_number" axis="axisRow" compact="0" outline="0" multipleItemSelectionAllowed="1" showAll="0" sortType="ascending">
      <items>
        <item x="1"/>
        <item x="0"/>
        <item t="default"/>
      </items>
    </pivotField>
    <pivotField dataField="1" compact="0" outline="0" subtotalTop="0" dragToRow="0" dragToCol="0" dragToPage="0" showAll="0" includeNewItemsInFilter="1" defaultSubtotal="0"/>
  </pivotFields>
  <rowFields>
    <field x="2"/>
  </rowFields>
  <dataFields>
    <dataField name="SUM of Not Drunk Drivers" fld="3" baseField="0"/>
  </dataFields>
</pivotTableDefinition>
</file>

<file path=xl/pivotTables/pivotTable20.xml><?xml version="1.0" encoding="utf-8"?>
<pivotTableDefinition xmlns="http://schemas.openxmlformats.org/spreadsheetml/2006/main" name="NO 4" cacheId="19" dataCaption="" compact="0" compactData="0">
  <location ref="A14:B17" firstHeaderRow="0" firstDataRow="1" firstDataCol="0"/>
  <pivotFields>
    <pivotField name="cases" axis="axisRow" compact="0" outline="0" multipleItemSelectionAllowed="1" showAll="0" sortType="ascending">
      <items>
        <item x="0"/>
        <item x="1"/>
        <item t="default"/>
      </items>
    </pivotField>
    <pivotField name="total_cases" dataField="1" compact="0" outline="0" multipleItemSelectionAllowed="1" showAll="0">
      <items>
        <item x="0"/>
        <item x="1"/>
        <item t="default"/>
      </items>
    </pivotField>
  </pivotFields>
  <rowFields>
    <field x="0"/>
  </rowFields>
  <dataFields>
    <dataField name="Total Crash" fld="1" baseField="0"/>
  </dataFields>
</pivotTableDefinition>
</file>

<file path=xl/pivotTables/pivotTable21.xml><?xml version="1.0" encoding="utf-8"?>
<pivotTableDefinition xmlns="http://schemas.openxmlformats.org/spreadsheetml/2006/main" name="NO 5" cacheId="20" dataCaption="" compact="0" compactData="0">
  <location ref="A13:C16" firstHeaderRow="0" firstDataRow="2" firstDataCol="0"/>
  <pivotFields>
    <pivotField name="Land Use Name" axis="axisRow" compact="0" outline="0" multipleItemSelectionAllowed="1" showAll="0" sortType="ascending">
      <items>
        <item x="1"/>
        <item x="0"/>
        <item t="default"/>
      </items>
    </pivotField>
    <pivotField name="number_crash" dataField="1" compact="0" outline="0" multipleItemSelectionAllowed="1" showAll="0">
      <items>
        <item x="0"/>
        <item x="1"/>
        <item t="default"/>
      </items>
    </pivotField>
  </pivotFields>
  <rowFields>
    <field x="0"/>
  </rowFields>
  <colFields>
    <field x="-2"/>
  </colFields>
  <dataFields>
    <dataField name="Total Crash" fld="1" baseField="0"/>
    <dataField name="% Crash" fld="1" showDataAs="percentOfTotal" baseField="0" numFmtId="10"/>
  </dataFields>
</pivotTableDefinition>
</file>

<file path=xl/pivotTables/pivotTable22.xml><?xml version="1.0" encoding="utf-8"?>
<pivotTableDefinition xmlns="http://schemas.openxmlformats.org/spreadsheetml/2006/main" name="NO 6" cacheId="21" dataCaption="" compact="0" compactData="0">
  <location ref="A27:B35" firstHeaderRow="0" firstDataRow="1" firstDataCol="0"/>
  <pivotFields>
    <pivotField name="days"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total_crash" dataField="1" compact="0" outline="0" multipleItemSelectionAllowed="1" showAll="0">
      <items>
        <item x="0"/>
        <item x="1"/>
        <item x="2"/>
        <item x="3"/>
        <item x="4"/>
        <item x="5"/>
        <item x="6"/>
        <item t="default"/>
      </items>
    </pivotField>
  </pivotFields>
  <rowFields>
    <field x="0"/>
  </rowFields>
  <dataFields>
    <dataField name="Total Crash" fld="1" baseField="0"/>
  </dataFields>
</pivotTableDefinition>
</file>

<file path=xl/pivotTables/pivotTable23.xml><?xml version="1.0" encoding="utf-8"?>
<pivotTableDefinition xmlns="http://schemas.openxmlformats.org/spreadsheetml/2006/main" name="NO 7" cacheId="22" dataCaption="" compact="0" compactData="0">
  <location ref="A22:D26" firstHeaderRow="0" firstDataRow="2" firstDataCol="0"/>
  <pivotFields>
    <pivotField name="Q1" axis="axisRow" compact="0" outline="0" multipleItemSelectionAllowed="1" showAll="0" sortType="descending">
      <items>
        <item h="1" x="0"/>
        <item h="1" x="1"/>
        <item x="2"/>
        <item h="1" x="3"/>
        <item x="4"/>
        <item h="1" x="5"/>
        <item h="1" x="6"/>
        <item x="7"/>
        <item h="1" x="8"/>
        <item h="1" x="9"/>
        <item h="1" x="10"/>
        <item h="1" x="11"/>
        <item t="default"/>
      </items>
      <autoSortScope>
        <pivotArea>
          <references>
            <reference field="4294967294">
              <x v="1"/>
            </reference>
          </references>
        </pivotArea>
      </autoSortScope>
    </pivotField>
    <pivotField name="total_crash" dataField="1" compact="0" outline="0" multipleItemSelectionAllowed="1" showAll="0">
      <items>
        <item x="0"/>
        <item x="1"/>
        <item x="2"/>
        <item x="3"/>
        <item x="4"/>
        <item x="5"/>
        <item x="6"/>
        <item x="7"/>
        <item x="8"/>
        <item x="9"/>
        <item x="10"/>
        <item x="11"/>
        <item t="default"/>
      </items>
    </pivotField>
    <pivotField name="total_fatality" dataField="1" compact="0" outline="0" multipleItemSelectionAllowed="1" showAll="0">
      <items>
        <item x="0"/>
        <item x="1"/>
        <item x="2"/>
        <item x="3"/>
        <item x="4"/>
        <item x="5"/>
        <item x="6"/>
        <item x="7"/>
        <item x="8"/>
        <item x="9"/>
        <item x="10"/>
        <item x="11"/>
        <item t="default"/>
      </items>
    </pivotField>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0"/>
  </rowFields>
  <colFields>
    <field x="-2"/>
  </colFields>
  <dataFields>
    <dataField name="Total Crash_Q1" fld="1" baseField="0"/>
    <dataField name="Total Fatality_Q1" fld="2" baseField="0"/>
    <dataField name="SUM of % Fatality Q1" fld="3" showDataAs="percentOfTotal" baseField="0" numFmtId="10"/>
  </dataFields>
</pivotTableDefinition>
</file>

<file path=xl/pivotTables/pivotTable24.xml><?xml version="1.0" encoding="utf-8"?>
<pivotTableDefinition xmlns="http://schemas.openxmlformats.org/spreadsheetml/2006/main" name="NO 7 2" cacheId="22" dataCaption="" compact="0" compactData="0">
  <location ref="A28:D32" firstHeaderRow="0" firstDataRow="2" firstDataCol="0"/>
  <pivotFields>
    <pivotField name="Q4" axis="axisRow" compact="0" outline="0" multipleItemSelectionAllowed="1" showAll="0" sortType="descending">
      <items>
        <item h="1" x="0"/>
        <item h="1" x="1"/>
        <item h="1" x="2"/>
        <item h="1" x="3"/>
        <item h="1" x="4"/>
        <item x="5"/>
        <item h="1" x="6"/>
        <item h="1" x="7"/>
        <item h="1" x="8"/>
        <item x="9"/>
        <item x="10"/>
        <item h="1" x="11"/>
        <item t="default"/>
      </items>
      <autoSortScope>
        <pivotArea>
          <references>
            <reference field="4294967294">
              <x v="1"/>
            </reference>
          </references>
        </pivotArea>
      </autoSortScope>
    </pivotField>
    <pivotField name="total_crash" dataField="1" compact="0" outline="0" multipleItemSelectionAllowed="1" showAll="0">
      <items>
        <item x="0"/>
        <item x="1"/>
        <item x="2"/>
        <item x="3"/>
        <item x="4"/>
        <item x="5"/>
        <item x="6"/>
        <item x="7"/>
        <item x="8"/>
        <item x="9"/>
        <item x="10"/>
        <item x="11"/>
        <item t="default"/>
      </items>
    </pivotField>
    <pivotField name="total_fatality" dataField="1" compact="0" outline="0" multipleItemSelectionAllowed="1" showAll="0">
      <items>
        <item x="0"/>
        <item x="1"/>
        <item x="2"/>
        <item x="3"/>
        <item x="4"/>
        <item x="5"/>
        <item x="6"/>
        <item x="7"/>
        <item x="8"/>
        <item x="9"/>
        <item x="10"/>
        <item x="11"/>
        <item t="default"/>
      </items>
    </pivotField>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0"/>
  </rowFields>
  <colFields>
    <field x="-2"/>
  </colFields>
  <dataFields>
    <dataField name="Total Crash_Q4" fld="1" baseField="0"/>
    <dataField name="Total Fatality_Q4" fld="2" baseField="0"/>
    <dataField name="SUM of % Fatality Q4" fld="4" showDataAs="percentOfTota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pivotTable" Target="../pivotTables/pivotTable12.xml"/><Relationship Id="rId3" Type="http://schemas.openxmlformats.org/officeDocument/2006/relationships/pivotTable" Target="../pivotTables/pivotTable13.xml"/><Relationship Id="rId4" Type="http://schemas.openxmlformats.org/officeDocument/2006/relationships/pivotTable" Target="../pivotTables/pivotTable14.xml"/><Relationship Id="rId5" Type="http://schemas.openxmlformats.org/officeDocument/2006/relationships/pivotTable" Target="../pivotTables/pivotTable15.xm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6.xml"/><Relationship Id="rId2" Type="http://schemas.openxmlformats.org/officeDocument/2006/relationships/pivotTable" Target="../pivotTables/pivotTable17.xml"/><Relationship Id="rId3" Type="http://schemas.openxmlformats.org/officeDocument/2006/relationships/pivotTable" Target="../pivotTables/pivotTable18.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0.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2.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pivotTable" Target="../pivotTables/pivotTable24.xm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 customWidth="1" min="2" max="2" width="28.88"/>
    <col customWidth="1" min="4" max="4" width="56.5"/>
    <col customWidth="1" min="5" max="5" width="34.75"/>
  </cols>
  <sheetData>
    <row r="1">
      <c r="A1" s="1" t="s">
        <v>0</v>
      </c>
      <c r="B1" s="1" t="s">
        <v>1</v>
      </c>
    </row>
    <row r="2">
      <c r="A2" s="3" t="s">
        <v>3</v>
      </c>
      <c r="B2" s="3">
        <v>54.0</v>
      </c>
      <c r="M2" s="4" t="s">
        <v>5</v>
      </c>
      <c r="N2" s="5"/>
      <c r="O2" s="5"/>
      <c r="P2" s="6"/>
    </row>
    <row r="3">
      <c r="A3" s="3" t="s">
        <v>6</v>
      </c>
      <c r="B3" s="3">
        <v>204.0</v>
      </c>
      <c r="M3" s="7"/>
      <c r="P3" s="8"/>
    </row>
    <row r="4">
      <c r="A4" s="3" t="s">
        <v>8</v>
      </c>
      <c r="B4" s="3">
        <v>20.0</v>
      </c>
      <c r="M4" s="9"/>
      <c r="N4" s="10"/>
      <c r="O4" s="10"/>
      <c r="P4" s="11"/>
    </row>
    <row r="5">
      <c r="A5" s="3" t="s">
        <v>4</v>
      </c>
      <c r="B5" s="3">
        <v>5.0</v>
      </c>
    </row>
    <row r="6">
      <c r="A6" s="3" t="s">
        <v>11</v>
      </c>
      <c r="B6" s="3">
        <v>26.0</v>
      </c>
    </row>
    <row r="7">
      <c r="A7" s="3" t="s">
        <v>9</v>
      </c>
      <c r="B7" s="3">
        <v>24786.0</v>
      </c>
    </row>
    <row r="8">
      <c r="A8" s="3" t="s">
        <v>13</v>
      </c>
      <c r="B8" s="3">
        <v>35.0</v>
      </c>
    </row>
    <row r="9">
      <c r="A9" s="3" t="s">
        <v>7</v>
      </c>
      <c r="B9" s="3">
        <v>26.0</v>
      </c>
    </row>
    <row r="10">
      <c r="A10" s="12" t="s">
        <v>12</v>
      </c>
      <c r="B10" s="3">
        <v>364.0</v>
      </c>
    </row>
    <row r="11">
      <c r="A11" s="3" t="s">
        <v>14</v>
      </c>
      <c r="B11" s="3">
        <v>2444.0</v>
      </c>
    </row>
    <row r="12">
      <c r="A12" s="3" t="s">
        <v>16</v>
      </c>
      <c r="B12" s="3">
        <v>281.0</v>
      </c>
    </row>
    <row r="13">
      <c r="A13" s="3" t="s">
        <v>15</v>
      </c>
      <c r="B13" s="3">
        <v>2613.0</v>
      </c>
    </row>
    <row r="14">
      <c r="A14" s="3" t="s">
        <v>10</v>
      </c>
      <c r="B14" s="3">
        <v>4593.0</v>
      </c>
    </row>
    <row r="15"/>
    <row r="16">
      <c r="A16" s="1" t="s">
        <v>18</v>
      </c>
      <c r="B16" s="1" t="s">
        <v>19</v>
      </c>
    </row>
    <row r="17">
      <c r="A17" s="3" t="s">
        <v>20</v>
      </c>
      <c r="B17" s="3">
        <v>243.0</v>
      </c>
    </row>
    <row r="18">
      <c r="A18" s="3" t="s">
        <v>21</v>
      </c>
      <c r="B18" s="3">
        <v>26653.0</v>
      </c>
    </row>
    <row r="19">
      <c r="A19" s="3" t="s">
        <v>22</v>
      </c>
      <c r="B19" s="3">
        <v>9.0</v>
      </c>
    </row>
    <row r="20">
      <c r="A20" s="3" t="s">
        <v>24</v>
      </c>
      <c r="B20" s="3">
        <v>45.0</v>
      </c>
      <c r="M20" s="4" t="s">
        <v>25</v>
      </c>
      <c r="N20" s="5"/>
      <c r="O20" s="5"/>
      <c r="P20" s="6"/>
    </row>
    <row r="21">
      <c r="A21" s="3" t="s">
        <v>14</v>
      </c>
      <c r="B21" s="3">
        <v>62.0</v>
      </c>
      <c r="M21" s="7"/>
      <c r="P21" s="8"/>
    </row>
    <row r="22">
      <c r="A22" s="3" t="s">
        <v>26</v>
      </c>
      <c r="B22" s="3">
        <v>5375.0</v>
      </c>
      <c r="M22" s="9"/>
      <c r="N22" s="10"/>
      <c r="O22" s="10"/>
      <c r="P22" s="11"/>
    </row>
    <row r="23">
      <c r="A23" s="3" t="s">
        <v>27</v>
      </c>
      <c r="B23" s="3">
        <v>22.0</v>
      </c>
    </row>
    <row r="24">
      <c r="A24" s="3" t="s">
        <v>28</v>
      </c>
      <c r="B24" s="3">
        <v>9.0</v>
      </c>
    </row>
    <row r="25">
      <c r="A25" s="3" t="s">
        <v>29</v>
      </c>
      <c r="B25" s="3">
        <v>26.0</v>
      </c>
    </row>
    <row r="26">
      <c r="A26" s="3" t="s">
        <v>6</v>
      </c>
      <c r="B26" s="3">
        <v>55.0</v>
      </c>
    </row>
    <row r="27">
      <c r="A27" s="3" t="s">
        <v>30</v>
      </c>
      <c r="B27" s="3">
        <v>2952.0</v>
      </c>
    </row>
    <row r="28"/>
    <row r="29">
      <c r="A29" s="1" t="s">
        <v>31</v>
      </c>
      <c r="B29" s="1" t="s">
        <v>32</v>
      </c>
    </row>
    <row r="30">
      <c r="A30" s="3" t="s">
        <v>33</v>
      </c>
      <c r="B30" s="3">
        <v>335.0</v>
      </c>
    </row>
    <row r="31">
      <c r="A31" s="3" t="s">
        <v>34</v>
      </c>
      <c r="B31" s="3">
        <v>951.0</v>
      </c>
    </row>
    <row r="32">
      <c r="A32" s="3" t="s">
        <v>6</v>
      </c>
      <c r="B32" s="3">
        <v>126.0</v>
      </c>
    </row>
    <row r="33">
      <c r="A33" s="3" t="s">
        <v>8</v>
      </c>
      <c r="B33" s="3">
        <v>17.0</v>
      </c>
    </row>
    <row r="34">
      <c r="A34" s="3" t="s">
        <v>35</v>
      </c>
      <c r="B34" s="3">
        <v>7373.0</v>
      </c>
    </row>
    <row r="35">
      <c r="A35" s="3" t="s">
        <v>36</v>
      </c>
      <c r="B35" s="3">
        <v>9695.0</v>
      </c>
    </row>
    <row r="36">
      <c r="A36" s="3" t="s">
        <v>37</v>
      </c>
      <c r="B36" s="3">
        <v>645.0</v>
      </c>
    </row>
    <row r="37">
      <c r="A37" s="3" t="s">
        <v>14</v>
      </c>
      <c r="B37" s="3">
        <v>73.0</v>
      </c>
    </row>
    <row r="38">
      <c r="A38" s="3" t="s">
        <v>38</v>
      </c>
      <c r="B38" s="3">
        <v>16236.0</v>
      </c>
      <c r="M38" s="4" t="s">
        <v>40</v>
      </c>
      <c r="N38" s="5"/>
      <c r="O38" s="5"/>
      <c r="P38" s="6"/>
    </row>
    <row r="39">
      <c r="M39" s="7"/>
      <c r="P39" s="8"/>
    </row>
    <row r="40">
      <c r="A40" s="1" t="s">
        <v>41</v>
      </c>
      <c r="B40" s="1" t="s">
        <v>42</v>
      </c>
      <c r="M40" s="9"/>
      <c r="N40" s="10"/>
      <c r="O40" s="10"/>
      <c r="P40" s="11"/>
    </row>
    <row r="41">
      <c r="A41" s="3" t="s">
        <v>6</v>
      </c>
      <c r="B41" s="3">
        <v>64.0</v>
      </c>
    </row>
    <row r="42">
      <c r="A42" s="3" t="s">
        <v>8</v>
      </c>
      <c r="B42" s="3">
        <v>101.0</v>
      </c>
    </row>
    <row r="43">
      <c r="A43" s="3" t="s">
        <v>43</v>
      </c>
      <c r="B43" s="3">
        <v>530.0</v>
      </c>
    </row>
    <row r="44">
      <c r="A44" s="3" t="s">
        <v>44</v>
      </c>
      <c r="B44" s="3">
        <v>6421.0</v>
      </c>
    </row>
    <row r="45">
      <c r="A45" s="3" t="s">
        <v>45</v>
      </c>
      <c r="B45" s="3">
        <v>2426.0</v>
      </c>
    </row>
    <row r="46">
      <c r="A46" s="3" t="s">
        <v>46</v>
      </c>
      <c r="B46" s="3">
        <v>2.0</v>
      </c>
    </row>
    <row r="47">
      <c r="A47" s="3" t="s">
        <v>14</v>
      </c>
      <c r="B47" s="3">
        <v>39.0</v>
      </c>
    </row>
    <row r="48">
      <c r="A48" s="3" t="s">
        <v>47</v>
      </c>
      <c r="B48" s="3">
        <v>30.0</v>
      </c>
    </row>
    <row r="49">
      <c r="A49" s="3" t="s">
        <v>48</v>
      </c>
      <c r="B49" s="3">
        <v>21797.0</v>
      </c>
    </row>
    <row r="50">
      <c r="A50" s="3" t="s">
        <v>49</v>
      </c>
      <c r="B50" s="3">
        <v>420.0</v>
      </c>
    </row>
    <row r="51">
      <c r="A51" s="3" t="s">
        <v>50</v>
      </c>
      <c r="B51" s="3">
        <v>3621.0</v>
      </c>
    </row>
    <row r="56">
      <c r="M56" s="4" t="s">
        <v>52</v>
      </c>
      <c r="N56" s="5"/>
      <c r="O56" s="5"/>
      <c r="P56" s="6"/>
    </row>
    <row r="57">
      <c r="M57" s="7"/>
      <c r="P57" s="8"/>
    </row>
    <row r="58">
      <c r="M58" s="9"/>
      <c r="N58" s="10"/>
      <c r="O58" s="10"/>
      <c r="P58" s="11"/>
    </row>
    <row r="59"/>
    <row r="60"/>
    <row r="61"/>
    <row r="62"/>
    <row r="63"/>
    <row r="64"/>
    <row r="65">
      <c r="M65" s="13" t="s">
        <v>53</v>
      </c>
      <c r="N65" s="14"/>
      <c r="O65" s="14"/>
      <c r="P65" s="15"/>
    </row>
    <row r="66">
      <c r="M66" s="16" t="s">
        <v>54</v>
      </c>
      <c r="P66" s="8"/>
    </row>
    <row r="67">
      <c r="M67" s="7"/>
      <c r="P67" s="8"/>
    </row>
    <row r="68">
      <c r="M68" s="7"/>
      <c r="P68" s="8"/>
    </row>
    <row r="69">
      <c r="M69" s="7"/>
      <c r="P69" s="8"/>
    </row>
    <row r="70">
      <c r="M70" s="9"/>
      <c r="N70" s="10"/>
      <c r="O70" s="10"/>
      <c r="P70" s="11"/>
    </row>
  </sheetData>
  <mergeCells count="5">
    <mergeCell ref="M2:P4"/>
    <mergeCell ref="M20:P22"/>
    <mergeCell ref="M38:P40"/>
    <mergeCell ref="M56:P58"/>
    <mergeCell ref="M66:P70"/>
  </mergeCells>
  <printOptions gridLines="1" horizontalCentered="1"/>
  <pageMargins bottom="0.75" footer="0.0" header="0.0" left="0.7" right="0.7" top="0.75"/>
  <pageSetup fitToHeight="0"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24.88"/>
    <col customWidth="1" min="2" max="2" width="13.88"/>
    <col customWidth="1" min="3" max="3" width="6.5"/>
    <col customWidth="1" min="4" max="4" width="15.63"/>
    <col customWidth="1" min="5" max="5" width="34.75"/>
  </cols>
  <sheetData>
    <row r="1" hidden="1">
      <c r="A1" s="17" t="s">
        <v>55</v>
      </c>
      <c r="B1" s="3"/>
    </row>
    <row r="2" hidden="1">
      <c r="A2" s="18" t="s">
        <v>56</v>
      </c>
      <c r="B2" s="5"/>
      <c r="C2" s="5"/>
      <c r="D2" s="6"/>
    </row>
    <row r="3" hidden="1">
      <c r="A3" s="7"/>
      <c r="D3" s="8"/>
    </row>
    <row r="4" hidden="1">
      <c r="A4" s="7"/>
      <c r="D4" s="8"/>
    </row>
    <row r="5" hidden="1">
      <c r="A5" s="9"/>
      <c r="B5" s="10"/>
      <c r="C5" s="10"/>
      <c r="D5" s="11"/>
    </row>
    <row r="6" hidden="1"/>
    <row r="7">
      <c r="A7" s="3" t="s">
        <v>57</v>
      </c>
      <c r="B7" s="3" t="s">
        <v>58</v>
      </c>
    </row>
    <row r="8">
      <c r="A8" s="3" t="s">
        <v>8</v>
      </c>
      <c r="B8" s="3">
        <v>2668.0</v>
      </c>
      <c r="J8" s="17" t="s">
        <v>59</v>
      </c>
    </row>
    <row r="9">
      <c r="A9" s="3" t="s">
        <v>16</v>
      </c>
      <c r="B9" s="3">
        <v>281.0</v>
      </c>
      <c r="J9" s="4" t="s">
        <v>60</v>
      </c>
      <c r="K9" s="5"/>
      <c r="L9" s="5"/>
      <c r="M9" s="5"/>
      <c r="N9" s="5"/>
      <c r="O9" s="5"/>
      <c r="P9" s="6"/>
    </row>
    <row r="10">
      <c r="A10" s="12" t="s">
        <v>4</v>
      </c>
      <c r="B10" s="3">
        <v>5.0</v>
      </c>
      <c r="J10" s="7"/>
      <c r="P10" s="8"/>
    </row>
    <row r="11">
      <c r="A11" s="3" t="s">
        <v>12</v>
      </c>
      <c r="B11" s="3">
        <v>364.0</v>
      </c>
      <c r="J11" s="7"/>
      <c r="P11" s="8"/>
    </row>
    <row r="12">
      <c r="A12" s="3" t="s">
        <v>3</v>
      </c>
      <c r="B12" s="3">
        <v>54.0</v>
      </c>
      <c r="J12" s="9"/>
      <c r="K12" s="10"/>
      <c r="L12" s="10"/>
      <c r="M12" s="10"/>
      <c r="N12" s="10"/>
      <c r="O12" s="10"/>
      <c r="P12" s="11"/>
    </row>
    <row r="13">
      <c r="A13" s="3" t="s">
        <v>9</v>
      </c>
      <c r="B13" s="3">
        <v>24757.0</v>
      </c>
      <c r="J13" s="17" t="s">
        <v>61</v>
      </c>
    </row>
    <row r="14">
      <c r="A14" s="3" t="s">
        <v>15</v>
      </c>
      <c r="B14" s="3">
        <v>2610.0</v>
      </c>
      <c r="J14" s="19" t="s">
        <v>62</v>
      </c>
      <c r="K14" s="5"/>
      <c r="L14" s="5"/>
      <c r="M14" s="5"/>
      <c r="N14" s="5"/>
      <c r="O14" s="5"/>
      <c r="P14" s="6"/>
    </row>
    <row r="15">
      <c r="A15" s="3" t="s">
        <v>11</v>
      </c>
      <c r="B15" s="3">
        <v>26.0</v>
      </c>
      <c r="J15" s="7"/>
      <c r="P15" s="8"/>
    </row>
    <row r="16">
      <c r="A16" s="3" t="s">
        <v>13</v>
      </c>
      <c r="B16" s="3">
        <v>35.0</v>
      </c>
      <c r="J16" s="7"/>
      <c r="P16" s="8"/>
    </row>
    <row r="17">
      <c r="A17" s="3" t="s">
        <v>7</v>
      </c>
      <c r="B17" s="3">
        <v>26.0</v>
      </c>
      <c r="J17" s="9"/>
      <c r="K17" s="10"/>
      <c r="L17" s="10"/>
      <c r="M17" s="10"/>
      <c r="N17" s="10"/>
      <c r="O17" s="10"/>
      <c r="P17" s="11"/>
    </row>
    <row r="18">
      <c r="A18" s="3" t="s">
        <v>10</v>
      </c>
      <c r="B18" s="3">
        <v>4587.0</v>
      </c>
    </row>
    <row r="22"/>
    <row r="23"/>
    <row r="24"/>
    <row r="25"/>
    <row r="26"/>
    <row r="27"/>
    <row r="28"/>
    <row r="29"/>
    <row r="30"/>
    <row r="31"/>
    <row r="32"/>
    <row r="33"/>
    <row r="34" hidden="1"/>
    <row r="35" hidden="1">
      <c r="A35" s="20" t="s">
        <v>65</v>
      </c>
      <c r="B35" s="5"/>
      <c r="C35" s="5"/>
      <c r="D35" s="6"/>
    </row>
    <row r="36" hidden="1">
      <c r="A36" s="7"/>
      <c r="D36" s="8"/>
    </row>
    <row r="37" hidden="1">
      <c r="A37" s="7"/>
      <c r="D37" s="8"/>
    </row>
    <row r="38" hidden="1">
      <c r="A38" s="9"/>
      <c r="B38" s="10"/>
      <c r="C38" s="10"/>
      <c r="D38" s="11"/>
    </row>
    <row r="40">
      <c r="A40" s="3" t="s">
        <v>66</v>
      </c>
      <c r="B40" s="3" t="s">
        <v>58</v>
      </c>
      <c r="J40" s="17" t="s">
        <v>59</v>
      </c>
    </row>
    <row r="41">
      <c r="A41" s="3" t="s">
        <v>20</v>
      </c>
      <c r="B41" s="3">
        <v>242.0</v>
      </c>
      <c r="J41" s="4" t="s">
        <v>67</v>
      </c>
      <c r="K41" s="5"/>
      <c r="L41" s="5"/>
      <c r="M41" s="5"/>
      <c r="N41" s="5"/>
      <c r="O41" s="5"/>
      <c r="P41" s="6"/>
    </row>
    <row r="42">
      <c r="A42" s="3" t="s">
        <v>21</v>
      </c>
      <c r="B42" s="3">
        <v>26622.0</v>
      </c>
      <c r="J42" s="7"/>
      <c r="P42" s="8"/>
    </row>
    <row r="43">
      <c r="A43" s="3" t="s">
        <v>22</v>
      </c>
      <c r="B43" s="3">
        <v>126.0</v>
      </c>
      <c r="J43" s="9"/>
      <c r="K43" s="10"/>
      <c r="L43" s="10"/>
      <c r="M43" s="10"/>
      <c r="N43" s="10"/>
      <c r="O43" s="10"/>
      <c r="P43" s="11"/>
    </row>
    <row r="44">
      <c r="A44" s="3" t="s">
        <v>24</v>
      </c>
      <c r="B44" s="3">
        <v>45.0</v>
      </c>
      <c r="J44" s="17" t="s">
        <v>61</v>
      </c>
    </row>
    <row r="45">
      <c r="A45" s="3" t="s">
        <v>26</v>
      </c>
      <c r="B45" s="3">
        <v>5369.0</v>
      </c>
      <c r="J45" s="19" t="s">
        <v>62</v>
      </c>
      <c r="K45" s="5"/>
      <c r="L45" s="5"/>
      <c r="M45" s="5"/>
      <c r="N45" s="5"/>
      <c r="O45" s="5"/>
      <c r="P45" s="6"/>
    </row>
    <row r="46">
      <c r="A46" s="3" t="s">
        <v>27</v>
      </c>
      <c r="B46" s="3">
        <v>22.0</v>
      </c>
      <c r="J46" s="7"/>
      <c r="P46" s="8"/>
    </row>
    <row r="47">
      <c r="A47" s="3" t="s">
        <v>28</v>
      </c>
      <c r="B47" s="3">
        <v>9.0</v>
      </c>
      <c r="J47" s="7"/>
      <c r="P47" s="8"/>
    </row>
    <row r="48">
      <c r="A48" s="3" t="s">
        <v>29</v>
      </c>
      <c r="B48" s="3">
        <v>26.0</v>
      </c>
      <c r="J48" s="9"/>
      <c r="K48" s="10"/>
      <c r="L48" s="10"/>
      <c r="M48" s="10"/>
      <c r="N48" s="10"/>
      <c r="O48" s="10"/>
      <c r="P48" s="11"/>
    </row>
    <row r="49">
      <c r="A49" s="3" t="s">
        <v>30</v>
      </c>
      <c r="B49" s="3">
        <v>2952.0</v>
      </c>
    </row>
    <row r="51"/>
    <row r="52"/>
    <row r="53"/>
    <row r="54"/>
    <row r="55"/>
    <row r="56"/>
    <row r="57"/>
    <row r="58"/>
    <row r="59"/>
    <row r="60"/>
    <row r="61" hidden="1"/>
    <row r="62" hidden="1"/>
    <row r="63" hidden="1"/>
    <row r="64" hidden="1">
      <c r="A64" s="20" t="s">
        <v>69</v>
      </c>
      <c r="B64" s="5"/>
      <c r="C64" s="5"/>
      <c r="D64" s="6"/>
    </row>
    <row r="65" hidden="1">
      <c r="A65" s="7"/>
      <c r="D65" s="8"/>
    </row>
    <row r="66" hidden="1">
      <c r="A66" s="7"/>
      <c r="D66" s="8"/>
    </row>
    <row r="67" hidden="1">
      <c r="A67" s="9"/>
      <c r="B67" s="10"/>
      <c r="C67" s="10"/>
      <c r="D67" s="11"/>
    </row>
    <row r="69">
      <c r="A69" s="3" t="s">
        <v>70</v>
      </c>
      <c r="B69" s="3" t="s">
        <v>58</v>
      </c>
      <c r="J69" s="17" t="s">
        <v>59</v>
      </c>
    </row>
    <row r="70">
      <c r="A70" s="3" t="s">
        <v>8</v>
      </c>
      <c r="B70" s="3">
        <v>216.0</v>
      </c>
      <c r="J70" s="4" t="s">
        <v>71</v>
      </c>
      <c r="K70" s="5"/>
      <c r="L70" s="5"/>
      <c r="M70" s="5"/>
      <c r="N70" s="5"/>
      <c r="O70" s="5"/>
      <c r="P70" s="6"/>
    </row>
    <row r="71">
      <c r="A71" s="3" t="s">
        <v>35</v>
      </c>
      <c r="B71" s="3">
        <v>7360.0</v>
      </c>
      <c r="J71" s="7"/>
      <c r="P71" s="8"/>
    </row>
    <row r="72">
      <c r="A72" s="3" t="s">
        <v>36</v>
      </c>
      <c r="B72" s="3">
        <v>9671.0</v>
      </c>
      <c r="J72" s="9"/>
      <c r="K72" s="10"/>
      <c r="L72" s="10"/>
      <c r="M72" s="10"/>
      <c r="N72" s="10"/>
      <c r="O72" s="10"/>
      <c r="P72" s="11"/>
    </row>
    <row r="73">
      <c r="A73" s="3" t="s">
        <v>37</v>
      </c>
      <c r="B73" s="3">
        <v>645.0</v>
      </c>
      <c r="J73" s="17" t="s">
        <v>61</v>
      </c>
    </row>
    <row r="74">
      <c r="A74" s="3" t="s">
        <v>38</v>
      </c>
      <c r="B74" s="3">
        <v>16236.0</v>
      </c>
      <c r="J74" s="19" t="s">
        <v>62</v>
      </c>
      <c r="K74" s="5"/>
      <c r="L74" s="5"/>
      <c r="M74" s="5"/>
      <c r="N74" s="5"/>
      <c r="O74" s="5"/>
      <c r="P74" s="6"/>
    </row>
    <row r="75">
      <c r="A75" s="3" t="s">
        <v>33</v>
      </c>
      <c r="B75" s="3">
        <v>334.0</v>
      </c>
      <c r="J75" s="7"/>
      <c r="P75" s="8"/>
    </row>
    <row r="76">
      <c r="A76" s="3" t="s">
        <v>34</v>
      </c>
      <c r="B76" s="3">
        <v>951.0</v>
      </c>
      <c r="J76" s="7"/>
      <c r="P76" s="8"/>
    </row>
    <row r="77">
      <c r="J77" s="9"/>
      <c r="K77" s="10"/>
      <c r="L77" s="10"/>
      <c r="M77" s="10"/>
      <c r="N77" s="10"/>
      <c r="O77" s="10"/>
      <c r="P77" s="11"/>
    </row>
    <row r="78"/>
    <row r="79"/>
    <row r="80"/>
    <row r="81"/>
    <row r="82"/>
    <row r="83"/>
    <row r="84"/>
    <row r="85"/>
    <row r="87" hidden="1"/>
    <row r="88" hidden="1"/>
    <row r="89" hidden="1"/>
    <row r="90" hidden="1">
      <c r="A90" s="20" t="s">
        <v>73</v>
      </c>
      <c r="B90" s="5"/>
      <c r="C90" s="5"/>
      <c r="D90" s="6"/>
    </row>
    <row r="91" hidden="1">
      <c r="A91" s="7"/>
      <c r="D91" s="8"/>
    </row>
    <row r="92" hidden="1">
      <c r="A92" s="7"/>
      <c r="D92" s="8"/>
    </row>
    <row r="93" hidden="1">
      <c r="A93" s="9"/>
      <c r="B93" s="10"/>
      <c r="C93" s="10"/>
      <c r="D93" s="11"/>
    </row>
    <row r="95">
      <c r="A95" s="21" t="s">
        <v>74</v>
      </c>
      <c r="B95" s="21" t="s">
        <v>58</v>
      </c>
      <c r="J95" s="17" t="s">
        <v>59</v>
      </c>
    </row>
    <row r="96">
      <c r="A96" s="3" t="s">
        <v>8</v>
      </c>
      <c r="B96" s="3">
        <v>204.0</v>
      </c>
      <c r="J96" s="4" t="s">
        <v>75</v>
      </c>
      <c r="K96" s="5"/>
      <c r="L96" s="5"/>
      <c r="M96" s="5"/>
      <c r="N96" s="5"/>
      <c r="O96" s="5"/>
      <c r="P96" s="6"/>
    </row>
    <row r="97">
      <c r="A97" s="3" t="s">
        <v>43</v>
      </c>
      <c r="B97" s="3">
        <v>530.0</v>
      </c>
      <c r="J97" s="7"/>
      <c r="P97" s="8"/>
    </row>
    <row r="98">
      <c r="A98" s="3" t="s">
        <v>44</v>
      </c>
      <c r="B98" s="3">
        <v>6416.0</v>
      </c>
      <c r="J98" s="9"/>
      <c r="K98" s="10"/>
      <c r="L98" s="10"/>
      <c r="M98" s="10"/>
      <c r="N98" s="10"/>
      <c r="O98" s="10"/>
      <c r="P98" s="11"/>
    </row>
    <row r="99">
      <c r="A99" s="3" t="s">
        <v>45</v>
      </c>
      <c r="B99" s="3">
        <v>2424.0</v>
      </c>
      <c r="J99" s="17" t="s">
        <v>61</v>
      </c>
    </row>
    <row r="100">
      <c r="A100" s="3" t="s">
        <v>46</v>
      </c>
      <c r="B100" s="3">
        <v>2.0</v>
      </c>
      <c r="J100" s="19" t="s">
        <v>76</v>
      </c>
      <c r="K100" s="5"/>
      <c r="L100" s="5"/>
      <c r="M100" s="5"/>
      <c r="N100" s="5"/>
      <c r="O100" s="5"/>
      <c r="P100" s="6"/>
    </row>
    <row r="101">
      <c r="A101" s="3" t="s">
        <v>47</v>
      </c>
      <c r="B101" s="3">
        <v>30.0</v>
      </c>
      <c r="J101" s="7"/>
      <c r="P101" s="8"/>
    </row>
    <row r="102">
      <c r="A102" s="3" t="s">
        <v>48</v>
      </c>
      <c r="B102" s="3">
        <v>21769.0</v>
      </c>
      <c r="J102" s="7"/>
      <c r="P102" s="8"/>
    </row>
    <row r="103">
      <c r="A103" s="3" t="s">
        <v>49</v>
      </c>
      <c r="B103" s="3">
        <v>420.0</v>
      </c>
      <c r="J103" s="9"/>
      <c r="K103" s="10"/>
      <c r="L103" s="10"/>
      <c r="M103" s="10"/>
      <c r="N103" s="10"/>
      <c r="O103" s="10"/>
      <c r="P103" s="11"/>
    </row>
    <row r="104">
      <c r="A104" s="3" t="s">
        <v>50</v>
      </c>
      <c r="B104" s="3">
        <v>3618.0</v>
      </c>
    </row>
    <row r="106"/>
    <row r="107"/>
    <row r="108"/>
    <row r="109"/>
    <row r="110"/>
    <row r="111"/>
    <row r="112"/>
    <row r="113"/>
    <row r="114"/>
    <row r="115"/>
    <row r="119">
      <c r="A119" s="22" t="s">
        <v>78</v>
      </c>
      <c r="B119" s="23"/>
      <c r="C119" s="23"/>
      <c r="D119" s="23"/>
      <c r="E119" s="24"/>
    </row>
    <row r="120" ht="48.75" customHeight="1">
      <c r="A120" s="4" t="s">
        <v>79</v>
      </c>
      <c r="B120" s="5"/>
      <c r="C120" s="5"/>
      <c r="D120" s="5"/>
      <c r="E120" s="6"/>
      <c r="F120" s="25"/>
      <c r="G120" s="25"/>
      <c r="H120" s="25"/>
      <c r="I120" s="25"/>
    </row>
    <row r="121">
      <c r="A121" s="7"/>
      <c r="E121" s="8"/>
      <c r="F121" s="25"/>
      <c r="G121" s="25"/>
      <c r="H121" s="25"/>
      <c r="I121" s="25"/>
    </row>
    <row r="122">
      <c r="A122" s="7"/>
      <c r="E122" s="8"/>
      <c r="F122" s="25"/>
      <c r="G122" s="25"/>
      <c r="H122" s="25"/>
      <c r="I122" s="25"/>
    </row>
    <row r="123">
      <c r="A123" s="7"/>
      <c r="E123" s="8"/>
      <c r="F123" s="25"/>
      <c r="G123" s="25"/>
      <c r="H123" s="25"/>
      <c r="I123" s="25"/>
    </row>
    <row r="124">
      <c r="A124" s="9"/>
      <c r="B124" s="10"/>
      <c r="C124" s="10"/>
      <c r="D124" s="10"/>
      <c r="E124" s="11"/>
      <c r="F124" s="25"/>
      <c r="G124" s="25"/>
      <c r="H124" s="25"/>
      <c r="I124" s="25"/>
    </row>
    <row r="125">
      <c r="A125" s="16"/>
      <c r="B125" s="25"/>
      <c r="C125" s="25"/>
      <c r="D125" s="25"/>
      <c r="E125" s="25"/>
      <c r="F125" s="25"/>
      <c r="G125" s="25"/>
      <c r="H125" s="25"/>
      <c r="I125" s="25"/>
    </row>
    <row r="126">
      <c r="A126" s="16"/>
      <c r="B126" s="25"/>
      <c r="C126" s="25"/>
      <c r="D126" s="25"/>
      <c r="E126" s="25"/>
      <c r="F126" s="25"/>
      <c r="G126" s="25"/>
      <c r="H126" s="25"/>
      <c r="I126" s="25"/>
    </row>
    <row r="127">
      <c r="A127" s="16"/>
      <c r="B127" s="25"/>
      <c r="C127" s="25"/>
      <c r="D127" s="25"/>
      <c r="E127" s="25"/>
      <c r="F127" s="25"/>
      <c r="G127" s="25"/>
      <c r="H127" s="25"/>
      <c r="I127" s="25"/>
    </row>
    <row r="128">
      <c r="A128" s="16"/>
      <c r="B128" s="25"/>
      <c r="C128" s="25"/>
      <c r="D128" s="25"/>
      <c r="E128" s="25"/>
      <c r="F128" s="25"/>
      <c r="G128" s="25"/>
      <c r="H128" s="25"/>
      <c r="I128" s="25"/>
    </row>
    <row r="129">
      <c r="A129" s="16"/>
      <c r="B129" s="25"/>
      <c r="C129" s="25"/>
      <c r="D129" s="25"/>
      <c r="E129" s="25"/>
      <c r="F129" s="25"/>
      <c r="G129" s="25"/>
      <c r="H129" s="25"/>
      <c r="I129" s="25"/>
    </row>
    <row r="130">
      <c r="A130" s="16"/>
      <c r="B130" s="25"/>
      <c r="C130" s="25"/>
      <c r="D130" s="25"/>
      <c r="E130" s="25"/>
      <c r="F130" s="25"/>
      <c r="G130" s="25"/>
      <c r="H130" s="25"/>
      <c r="I130" s="25"/>
    </row>
    <row r="131">
      <c r="A131" s="16"/>
      <c r="B131" s="25"/>
      <c r="C131" s="25"/>
      <c r="D131" s="25"/>
      <c r="E131" s="25"/>
      <c r="F131" s="25"/>
      <c r="G131" s="25"/>
      <c r="H131" s="25"/>
      <c r="I131" s="25"/>
    </row>
    <row r="132">
      <c r="A132" s="25"/>
      <c r="B132" s="25"/>
      <c r="C132" s="25"/>
      <c r="D132" s="25"/>
      <c r="E132" s="25"/>
      <c r="F132" s="25"/>
      <c r="G132" s="25"/>
      <c r="H132" s="25"/>
      <c r="I132" s="25"/>
    </row>
    <row r="133">
      <c r="A133" s="25"/>
      <c r="B133" s="25"/>
      <c r="C133" s="25"/>
      <c r="D133" s="25"/>
      <c r="E133" s="25"/>
      <c r="F133" s="25"/>
      <c r="G133" s="25"/>
      <c r="H133" s="25"/>
      <c r="I133" s="25"/>
    </row>
  </sheetData>
  <mergeCells count="14">
    <mergeCell ref="J70:P72"/>
    <mergeCell ref="J74:P77"/>
    <mergeCell ref="A90:D93"/>
    <mergeCell ref="J96:P98"/>
    <mergeCell ref="J100:P103"/>
    <mergeCell ref="A119:E119"/>
    <mergeCell ref="A120:E124"/>
    <mergeCell ref="A2:D5"/>
    <mergeCell ref="J9:P12"/>
    <mergeCell ref="J14:P17"/>
    <mergeCell ref="A35:D38"/>
    <mergeCell ref="J41:P43"/>
    <mergeCell ref="J45:P48"/>
    <mergeCell ref="A64:D67"/>
  </mergeCells>
  <printOptions gridLines="1" horizontalCentered="1"/>
  <pageMargins bottom="0.75" footer="0.0" header="0.0" left="0.7" right="0.7" top="0.75"/>
  <pageSetup fitToHeight="0" cellComments="atEnd" orientation="landscape" pageOrder="overThenDown"/>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sheetData>
    <row r="1" hidden="1">
      <c r="A1" s="26" t="s">
        <v>55</v>
      </c>
      <c r="B1" s="27"/>
    </row>
    <row r="2" hidden="1">
      <c r="A2" s="28" t="s">
        <v>80</v>
      </c>
      <c r="B2" s="5"/>
      <c r="C2" s="5"/>
      <c r="D2" s="5"/>
      <c r="E2" s="5"/>
      <c r="F2" s="6"/>
    </row>
    <row r="3" hidden="1">
      <c r="A3" s="7"/>
      <c r="F3" s="8"/>
    </row>
    <row r="4" hidden="1">
      <c r="A4" s="7"/>
      <c r="F4" s="8"/>
    </row>
    <row r="5" hidden="1">
      <c r="A5" s="9"/>
      <c r="B5" s="10"/>
      <c r="C5" s="10"/>
      <c r="D5" s="10"/>
      <c r="E5" s="10"/>
      <c r="F5" s="11"/>
    </row>
    <row r="6" hidden="1">
      <c r="A6" s="27"/>
      <c r="B6" s="27"/>
    </row>
    <row r="7">
      <c r="A7" s="29" t="s">
        <v>81</v>
      </c>
      <c r="B7" s="27"/>
      <c r="D7" s="30" t="s">
        <v>82</v>
      </c>
      <c r="K7" s="30" t="s">
        <v>83</v>
      </c>
    </row>
    <row r="8">
      <c r="A8" s="31"/>
      <c r="B8" s="31"/>
    </row>
    <row r="9">
      <c r="A9" s="32" t="s">
        <v>84</v>
      </c>
      <c r="B9" s="33" t="s">
        <v>85</v>
      </c>
    </row>
    <row r="10">
      <c r="A10" s="34" t="s">
        <v>87</v>
      </c>
      <c r="B10" s="35">
        <v>3513.0</v>
      </c>
    </row>
    <row r="11">
      <c r="A11" s="34" t="s">
        <v>88</v>
      </c>
      <c r="B11" s="35">
        <v>3484.0</v>
      </c>
    </row>
    <row r="12">
      <c r="A12" s="34" t="s">
        <v>89</v>
      </c>
      <c r="B12" s="35">
        <v>3091.0</v>
      </c>
    </row>
    <row r="13">
      <c r="A13" s="34" t="s">
        <v>90</v>
      </c>
      <c r="B13" s="35">
        <v>1515.0</v>
      </c>
    </row>
    <row r="14">
      <c r="A14" s="34" t="s">
        <v>91</v>
      </c>
      <c r="B14" s="35">
        <v>1409.0</v>
      </c>
    </row>
    <row r="15">
      <c r="A15" s="34" t="s">
        <v>92</v>
      </c>
      <c r="B15" s="35">
        <v>1153.0</v>
      </c>
    </row>
    <row r="16">
      <c r="A16" s="34" t="s">
        <v>93</v>
      </c>
      <c r="B16" s="35">
        <v>1075.0</v>
      </c>
    </row>
    <row r="17">
      <c r="A17" s="34" t="s">
        <v>94</v>
      </c>
      <c r="B17" s="35">
        <v>1070.0</v>
      </c>
    </row>
    <row r="18">
      <c r="A18" s="34" t="s">
        <v>95</v>
      </c>
      <c r="B18" s="35">
        <v>1060.0</v>
      </c>
    </row>
    <row r="19">
      <c r="A19" s="34" t="s">
        <v>96</v>
      </c>
      <c r="B19" s="35">
        <v>1010.0</v>
      </c>
    </row>
    <row r="28">
      <c r="A28" s="36" t="s">
        <v>97</v>
      </c>
    </row>
    <row r="29">
      <c r="A29" s="37" t="s">
        <v>98</v>
      </c>
      <c r="B29" s="23"/>
      <c r="C29" s="23"/>
      <c r="D29" s="23"/>
      <c r="E29" s="23"/>
      <c r="F29" s="24"/>
    </row>
    <row r="32">
      <c r="A32" s="38" t="s">
        <v>61</v>
      </c>
    </row>
    <row r="33">
      <c r="A33" s="39" t="s">
        <v>99</v>
      </c>
      <c r="B33" s="23"/>
      <c r="C33" s="23"/>
      <c r="D33" s="23"/>
      <c r="E33" s="23"/>
      <c r="F33" s="24"/>
    </row>
  </sheetData>
  <mergeCells count="3">
    <mergeCell ref="A2:F5"/>
    <mergeCell ref="A29:F29"/>
    <mergeCell ref="A33:F33"/>
  </mergeCell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4.88"/>
  </cols>
  <sheetData>
    <row r="1">
      <c r="A1" s="17" t="s">
        <v>100</v>
      </c>
      <c r="B1" s="3"/>
    </row>
    <row r="2">
      <c r="A2" s="3" t="s">
        <v>101</v>
      </c>
      <c r="B2" s="3"/>
      <c r="E2" s="3" t="s">
        <v>102</v>
      </c>
    </row>
    <row r="3">
      <c r="A3" s="3" t="s">
        <v>103</v>
      </c>
      <c r="B3" s="3"/>
    </row>
    <row r="4">
      <c r="A4" s="3" t="s">
        <v>104</v>
      </c>
      <c r="B4" s="3"/>
    </row>
    <row r="5">
      <c r="A5" s="3" t="s">
        <v>105</v>
      </c>
      <c r="B5" s="3"/>
    </row>
    <row r="6">
      <c r="A6" s="3" t="s">
        <v>106</v>
      </c>
      <c r="B6" s="3"/>
    </row>
    <row r="7">
      <c r="A7" s="3"/>
      <c r="B7" s="3"/>
    </row>
    <row r="8">
      <c r="A8" s="17" t="s">
        <v>107</v>
      </c>
      <c r="B8" s="3"/>
      <c r="D8" s="17" t="s">
        <v>108</v>
      </c>
      <c r="G8" s="17" t="s">
        <v>109</v>
      </c>
    </row>
    <row r="9">
      <c r="A9" s="3" t="s">
        <v>110</v>
      </c>
      <c r="B9" s="3" t="s">
        <v>58</v>
      </c>
    </row>
    <row r="10">
      <c r="A10" s="3">
        <v>0.0</v>
      </c>
      <c r="B10" s="3">
        <v>1028.0</v>
      </c>
    </row>
    <row r="11">
      <c r="A11" s="3">
        <v>1.0</v>
      </c>
      <c r="B11" s="3">
        <v>1121.0</v>
      </c>
    </row>
    <row r="12">
      <c r="A12" s="3">
        <v>2.0</v>
      </c>
      <c r="B12" s="3">
        <v>996.0</v>
      </c>
    </row>
    <row r="13">
      <c r="A13" s="3">
        <v>3.0</v>
      </c>
      <c r="B13" s="3">
        <v>913.0</v>
      </c>
    </row>
    <row r="14">
      <c r="A14" s="3">
        <v>4.0</v>
      </c>
      <c r="B14" s="3">
        <v>1055.0</v>
      </c>
    </row>
    <row r="15">
      <c r="A15" s="3">
        <v>5.0</v>
      </c>
      <c r="B15" s="3">
        <v>1153.0</v>
      </c>
    </row>
    <row r="16">
      <c r="A16" s="3">
        <v>6.0</v>
      </c>
      <c r="B16" s="3">
        <v>1314.0</v>
      </c>
    </row>
    <row r="17">
      <c r="A17" s="3">
        <v>7.0</v>
      </c>
      <c r="B17" s="3">
        <v>1469.0</v>
      </c>
    </row>
    <row r="18">
      <c r="A18" s="3">
        <v>8.0</v>
      </c>
      <c r="B18" s="3">
        <v>1548.0</v>
      </c>
    </row>
    <row r="19">
      <c r="A19" s="3">
        <v>9.0</v>
      </c>
      <c r="B19" s="3">
        <v>1785.0</v>
      </c>
    </row>
    <row r="20">
      <c r="A20" s="3">
        <v>10.0</v>
      </c>
      <c r="B20" s="3">
        <v>1851.0</v>
      </c>
    </row>
    <row r="21">
      <c r="A21" s="3">
        <v>11.0</v>
      </c>
      <c r="B21" s="3">
        <v>2055.0</v>
      </c>
    </row>
    <row r="22">
      <c r="A22" s="3">
        <v>12.0</v>
      </c>
      <c r="B22" s="3">
        <v>2029.0</v>
      </c>
    </row>
    <row r="23">
      <c r="A23" s="3">
        <v>13.0</v>
      </c>
      <c r="B23" s="3">
        <v>2155.0</v>
      </c>
    </row>
    <row r="24">
      <c r="A24" s="3">
        <v>14.0</v>
      </c>
      <c r="B24" s="3">
        <v>2067.0</v>
      </c>
    </row>
    <row r="25">
      <c r="A25" s="3">
        <v>15.0</v>
      </c>
      <c r="B25" s="3">
        <v>2104.0</v>
      </c>
    </row>
    <row r="26">
      <c r="A26" s="3">
        <v>16.0</v>
      </c>
      <c r="B26" s="3">
        <v>1927.0</v>
      </c>
    </row>
    <row r="27">
      <c r="A27" s="3">
        <v>17.0</v>
      </c>
      <c r="B27" s="3">
        <v>1772.0</v>
      </c>
    </row>
    <row r="28">
      <c r="A28" s="3">
        <v>18.0</v>
      </c>
      <c r="B28" s="3">
        <v>1563.0</v>
      </c>
    </row>
    <row r="29">
      <c r="A29" s="3">
        <v>19.0</v>
      </c>
      <c r="B29" s="3">
        <v>1324.0</v>
      </c>
    </row>
    <row r="30">
      <c r="A30" s="3">
        <v>20.0</v>
      </c>
      <c r="B30" s="3">
        <v>1213.0</v>
      </c>
    </row>
    <row r="31">
      <c r="A31" s="3">
        <v>21.0</v>
      </c>
      <c r="B31" s="3">
        <v>1069.0</v>
      </c>
    </row>
    <row r="32">
      <c r="A32" s="3">
        <v>22.0</v>
      </c>
      <c r="B32" s="3">
        <v>961.0</v>
      </c>
    </row>
    <row r="33">
      <c r="A33" s="3">
        <v>23.0</v>
      </c>
      <c r="B33" s="3">
        <v>979.0</v>
      </c>
    </row>
    <row r="34"/>
    <row r="37">
      <c r="A37" s="17" t="s">
        <v>112</v>
      </c>
    </row>
    <row r="38">
      <c r="A38" s="3" t="s">
        <v>113</v>
      </c>
    </row>
    <row r="39">
      <c r="A39" s="40" t="s">
        <v>114</v>
      </c>
    </row>
    <row r="41">
      <c r="A41" s="17" t="s">
        <v>61</v>
      </c>
    </row>
    <row r="42">
      <c r="A42" s="3" t="s">
        <v>115</v>
      </c>
    </row>
  </sheetData>
  <mergeCells count="1">
    <mergeCell ref="E2:I5"/>
  </mergeCell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5" max="5" width="14.88"/>
  </cols>
  <sheetData>
    <row r="1" hidden="1">
      <c r="A1" s="17" t="s">
        <v>100</v>
      </c>
      <c r="B1" s="3"/>
    </row>
    <row r="2" hidden="1">
      <c r="A2" s="20" t="s">
        <v>116</v>
      </c>
      <c r="B2" s="5"/>
      <c r="C2" s="5"/>
      <c r="D2" s="5"/>
      <c r="E2" s="6"/>
    </row>
    <row r="3" hidden="1">
      <c r="A3" s="7"/>
      <c r="E3" s="8"/>
    </row>
    <row r="4" hidden="1">
      <c r="A4" s="7"/>
      <c r="E4" s="8"/>
    </row>
    <row r="5" hidden="1">
      <c r="A5" s="9"/>
      <c r="B5" s="10"/>
      <c r="C5" s="10"/>
      <c r="D5" s="10"/>
      <c r="E5" s="11"/>
    </row>
    <row r="6" hidden="1">
      <c r="B6" s="3"/>
    </row>
    <row r="7" hidden="1">
      <c r="A7" s="3"/>
      <c r="B7" s="3"/>
    </row>
    <row r="8">
      <c r="A8" s="17" t="s">
        <v>107</v>
      </c>
      <c r="B8" s="3"/>
      <c r="D8" s="17" t="s">
        <v>108</v>
      </c>
      <c r="G8" s="17" t="s">
        <v>109</v>
      </c>
    </row>
    <row r="10">
      <c r="A10" s="21" t="s">
        <v>117</v>
      </c>
      <c r="B10" s="21" t="s">
        <v>58</v>
      </c>
    </row>
    <row r="11">
      <c r="A11" s="3">
        <v>6.0</v>
      </c>
      <c r="B11" s="3">
        <v>1309.0</v>
      </c>
    </row>
    <row r="12">
      <c r="A12" s="3">
        <v>5.0</v>
      </c>
      <c r="B12" s="3">
        <v>1166.0</v>
      </c>
    </row>
    <row r="13">
      <c r="A13" s="3">
        <v>14.0</v>
      </c>
      <c r="B13" s="3">
        <v>2077.0</v>
      </c>
    </row>
    <row r="14">
      <c r="A14" s="3">
        <v>0.0</v>
      </c>
      <c r="B14" s="3">
        <v>1036.0</v>
      </c>
    </row>
    <row r="15">
      <c r="A15" s="3">
        <v>15.0</v>
      </c>
      <c r="B15" s="3">
        <v>2102.0</v>
      </c>
    </row>
    <row r="16">
      <c r="A16" s="3">
        <v>7.0</v>
      </c>
      <c r="B16" s="3">
        <v>1481.0</v>
      </c>
    </row>
    <row r="17">
      <c r="A17" s="3">
        <v>8.0</v>
      </c>
      <c r="B17" s="3">
        <v>1564.0</v>
      </c>
    </row>
    <row r="18">
      <c r="A18" s="3">
        <v>16.0</v>
      </c>
      <c r="B18" s="3">
        <v>1929.0</v>
      </c>
    </row>
    <row r="19">
      <c r="A19" s="3">
        <v>23.0</v>
      </c>
      <c r="B19" s="3">
        <v>987.0</v>
      </c>
    </row>
    <row r="20">
      <c r="A20" s="3">
        <v>1.0</v>
      </c>
      <c r="B20" s="3">
        <v>1149.0</v>
      </c>
    </row>
    <row r="21">
      <c r="A21" s="3">
        <v>13.0</v>
      </c>
      <c r="B21" s="3">
        <v>2166.0</v>
      </c>
    </row>
    <row r="22">
      <c r="A22" s="3">
        <v>19.0</v>
      </c>
      <c r="B22" s="3">
        <v>1299.0</v>
      </c>
    </row>
    <row r="23">
      <c r="A23" s="3">
        <v>3.0</v>
      </c>
      <c r="B23" s="3">
        <v>883.0</v>
      </c>
    </row>
    <row r="24">
      <c r="A24" s="3">
        <v>22.0</v>
      </c>
      <c r="B24" s="3">
        <v>931.0</v>
      </c>
    </row>
    <row r="25">
      <c r="A25" s="3">
        <v>20.0</v>
      </c>
      <c r="B25" s="3">
        <v>1186.0</v>
      </c>
    </row>
    <row r="26">
      <c r="A26" s="3">
        <v>11.0</v>
      </c>
      <c r="B26" s="3">
        <v>2041.0</v>
      </c>
    </row>
    <row r="27">
      <c r="A27" s="3">
        <v>9.0</v>
      </c>
      <c r="B27" s="3">
        <v>1794.0</v>
      </c>
    </row>
    <row r="28">
      <c r="A28" s="3">
        <v>12.0</v>
      </c>
      <c r="B28" s="3">
        <v>2058.0</v>
      </c>
    </row>
    <row r="29">
      <c r="A29" s="3">
        <v>2.0</v>
      </c>
      <c r="B29" s="3">
        <v>985.0</v>
      </c>
      <c r="G29" s="17" t="s">
        <v>112</v>
      </c>
      <c r="N29" s="17" t="s">
        <v>61</v>
      </c>
    </row>
    <row r="30">
      <c r="A30" s="3">
        <v>17.0</v>
      </c>
      <c r="B30" s="3">
        <v>1769.0</v>
      </c>
      <c r="G30" s="4" t="s">
        <v>119</v>
      </c>
      <c r="H30" s="5"/>
      <c r="I30" s="5"/>
      <c r="J30" s="5"/>
      <c r="K30" s="5"/>
      <c r="L30" s="6"/>
      <c r="N30" s="19" t="s">
        <v>120</v>
      </c>
      <c r="O30" s="5"/>
      <c r="P30" s="5"/>
      <c r="Q30" s="5"/>
      <c r="R30" s="5"/>
      <c r="S30" s="6"/>
    </row>
    <row r="31">
      <c r="A31" s="3">
        <v>18.0</v>
      </c>
      <c r="B31" s="3">
        <v>1537.0</v>
      </c>
      <c r="G31" s="7"/>
      <c r="L31" s="8"/>
      <c r="N31" s="7"/>
      <c r="S31" s="8"/>
    </row>
    <row r="32">
      <c r="A32" s="3">
        <v>10.0</v>
      </c>
      <c r="B32" s="3">
        <v>1859.0</v>
      </c>
      <c r="G32" s="7"/>
      <c r="L32" s="8"/>
      <c r="N32" s="7"/>
      <c r="S32" s="8"/>
    </row>
    <row r="33">
      <c r="A33" s="3">
        <v>21.0</v>
      </c>
      <c r="B33" s="3">
        <v>1051.0</v>
      </c>
      <c r="G33" s="9"/>
      <c r="H33" s="10"/>
      <c r="I33" s="10"/>
      <c r="J33" s="10"/>
      <c r="K33" s="10"/>
      <c r="L33" s="11"/>
      <c r="N33" s="9"/>
      <c r="O33" s="10"/>
      <c r="P33" s="10"/>
      <c r="Q33" s="10"/>
      <c r="R33" s="10"/>
      <c r="S33" s="11"/>
    </row>
    <row r="34">
      <c r="A34" s="3">
        <v>4.0</v>
      </c>
      <c r="B34" s="3">
        <v>1054.0</v>
      </c>
    </row>
    <row r="36">
      <c r="A36" s="17" t="s">
        <v>121</v>
      </c>
    </row>
    <row r="37" hidden="1"/>
    <row r="38" hidden="1">
      <c r="A38" s="17" t="s">
        <v>100</v>
      </c>
    </row>
    <row r="39" hidden="1">
      <c r="A39" s="3" t="s">
        <v>122</v>
      </c>
    </row>
    <row r="40" hidden="1">
      <c r="A40" s="3"/>
      <c r="B40" s="3"/>
      <c r="C40" s="3"/>
      <c r="D40" s="3"/>
      <c r="E40" s="3"/>
      <c r="F40" s="3"/>
      <c r="G40" s="3"/>
      <c r="H40" s="3"/>
      <c r="I40" s="3"/>
      <c r="J40" s="3"/>
      <c r="K40" s="3"/>
      <c r="L40" s="3"/>
      <c r="M40" s="3"/>
    </row>
    <row r="41">
      <c r="A41" s="17" t="s">
        <v>107</v>
      </c>
      <c r="B41" s="3"/>
      <c r="C41" s="3"/>
      <c r="D41" s="3"/>
      <c r="E41" s="3"/>
      <c r="F41" s="3"/>
      <c r="G41" s="3"/>
      <c r="H41" s="3"/>
      <c r="I41" s="3"/>
      <c r="J41" s="3"/>
      <c r="K41" s="3"/>
      <c r="L41" s="3"/>
      <c r="M41" s="3"/>
    </row>
    <row r="42">
      <c r="A42" s="3" t="s">
        <v>110</v>
      </c>
      <c r="B42" s="3" t="s">
        <v>58</v>
      </c>
      <c r="C42" s="3" t="s">
        <v>123</v>
      </c>
      <c r="D42" s="3" t="s">
        <v>124</v>
      </c>
      <c r="E42" s="3" t="s">
        <v>125</v>
      </c>
      <c r="F42" s="3" t="s">
        <v>126</v>
      </c>
      <c r="G42" s="3" t="s">
        <v>127</v>
      </c>
      <c r="H42" s="3" t="s">
        <v>128</v>
      </c>
      <c r="I42" s="3" t="s">
        <v>129</v>
      </c>
      <c r="J42" s="3" t="s">
        <v>130</v>
      </c>
      <c r="K42" s="3" t="s">
        <v>131</v>
      </c>
      <c r="L42" s="3" t="s">
        <v>132</v>
      </c>
      <c r="M42" s="3" t="s">
        <v>133</v>
      </c>
    </row>
    <row r="43">
      <c r="A43" s="3">
        <v>13.0</v>
      </c>
      <c r="B43" s="3">
        <v>2166.0</v>
      </c>
      <c r="C43" s="3">
        <v>859.0</v>
      </c>
      <c r="D43" s="3">
        <v>1277.0</v>
      </c>
      <c r="E43" s="3">
        <v>189.0</v>
      </c>
      <c r="F43" s="3">
        <v>14.0</v>
      </c>
      <c r="G43" s="3">
        <v>1590.0</v>
      </c>
      <c r="H43" s="3">
        <v>6.0</v>
      </c>
      <c r="I43" s="3">
        <v>5.0</v>
      </c>
      <c r="J43" s="3">
        <v>358.0</v>
      </c>
      <c r="K43" s="3">
        <v>1.0</v>
      </c>
      <c r="L43" s="3">
        <v>0.0</v>
      </c>
      <c r="M43" s="3">
        <v>3.0</v>
      </c>
    </row>
    <row r="45">
      <c r="A45" s="17" t="s">
        <v>134</v>
      </c>
    </row>
    <row r="46">
      <c r="E46" s="41" t="s">
        <v>135</v>
      </c>
      <c r="F46" s="41" t="s">
        <v>136</v>
      </c>
    </row>
    <row r="47">
      <c r="E47" s="41" t="s">
        <v>137</v>
      </c>
      <c r="F47" s="41">
        <v>1277.0</v>
      </c>
    </row>
    <row r="48">
      <c r="E48" s="41" t="s">
        <v>138</v>
      </c>
      <c r="F48" s="41">
        <v>859.0</v>
      </c>
    </row>
    <row r="49">
      <c r="A49" s="17" t="s">
        <v>139</v>
      </c>
    </row>
    <row r="50"/>
    <row r="51"/>
    <row r="53">
      <c r="N53" s="17" t="s">
        <v>59</v>
      </c>
    </row>
    <row r="54">
      <c r="N54" s="42" t="s">
        <v>140</v>
      </c>
    </row>
    <row r="57">
      <c r="N57" s="17" t="s">
        <v>61</v>
      </c>
    </row>
    <row r="58">
      <c r="N58" s="43" t="s">
        <v>141</v>
      </c>
      <c r="O58" s="3"/>
      <c r="P58" s="3"/>
      <c r="Q58" s="3"/>
      <c r="R58" s="3"/>
      <c r="S58" s="3"/>
      <c r="T58" s="3"/>
    </row>
    <row r="59">
      <c r="N59" s="44" t="s">
        <v>142</v>
      </c>
      <c r="O59" s="3"/>
      <c r="P59" s="3"/>
      <c r="Q59" s="3"/>
      <c r="R59" s="3"/>
      <c r="S59" s="3"/>
      <c r="T59" s="3"/>
    </row>
    <row r="60">
      <c r="N60" s="3" t="s">
        <v>143</v>
      </c>
      <c r="O60" s="3"/>
      <c r="P60" s="3"/>
      <c r="Q60" s="3"/>
      <c r="R60" s="3"/>
      <c r="S60" s="3"/>
      <c r="T60" s="3"/>
    </row>
    <row r="61">
      <c r="N61" s="3" t="s">
        <v>144</v>
      </c>
      <c r="O61" s="3"/>
      <c r="P61" s="3"/>
      <c r="Q61" s="3"/>
      <c r="R61" s="3"/>
      <c r="S61" s="3"/>
      <c r="T61" s="3"/>
    </row>
    <row r="62">
      <c r="N62" s="3" t="s">
        <v>145</v>
      </c>
      <c r="O62" s="3"/>
      <c r="P62" s="3"/>
      <c r="Q62" s="3"/>
      <c r="R62" s="3"/>
      <c r="S62" s="3"/>
      <c r="T62" s="3"/>
    </row>
    <row r="63">
      <c r="N63" s="45" t="s">
        <v>146</v>
      </c>
      <c r="O63" s="45">
        <v>6.0</v>
      </c>
    </row>
    <row r="64">
      <c r="N64" s="45" t="s">
        <v>147</v>
      </c>
      <c r="O64" s="45">
        <v>5.0</v>
      </c>
    </row>
    <row r="65">
      <c r="N65" s="45" t="s">
        <v>148</v>
      </c>
      <c r="O65" s="45">
        <v>1.0</v>
      </c>
    </row>
    <row r="66">
      <c r="N66" s="45" t="s">
        <v>149</v>
      </c>
      <c r="O66" s="45">
        <v>0.0</v>
      </c>
    </row>
    <row r="67">
      <c r="N67" s="45" t="s">
        <v>133</v>
      </c>
      <c r="O67" s="45">
        <v>3.0</v>
      </c>
    </row>
    <row r="69" hidden="1"/>
    <row r="70" hidden="1"/>
    <row r="71" hidden="1"/>
    <row r="72" hidden="1"/>
    <row r="73" hidden="1"/>
    <row r="74" hidden="1"/>
    <row r="75" hidden="1">
      <c r="A75" s="17" t="s">
        <v>150</v>
      </c>
    </row>
    <row r="76" hidden="1">
      <c r="A76" s="17" t="s">
        <v>55</v>
      </c>
    </row>
    <row r="77" hidden="1">
      <c r="A77" s="46" t="s">
        <v>151</v>
      </c>
      <c r="B77" s="5"/>
      <c r="C77" s="5"/>
      <c r="D77" s="5"/>
      <c r="E77" s="5"/>
      <c r="F77" s="5"/>
      <c r="G77" s="5"/>
      <c r="H77" s="5"/>
      <c r="I77" s="6"/>
    </row>
    <row r="78" hidden="1">
      <c r="A78" s="7"/>
      <c r="I78" s="8"/>
    </row>
    <row r="79" hidden="1">
      <c r="A79" s="7"/>
      <c r="I79" s="8"/>
    </row>
    <row r="80" hidden="1">
      <c r="A80" s="7"/>
      <c r="I80" s="8"/>
      <c r="J80" s="47"/>
      <c r="K80" s="47"/>
    </row>
    <row r="81" hidden="1">
      <c r="A81" s="7"/>
      <c r="I81" s="8"/>
      <c r="J81" s="47"/>
      <c r="K81" s="47"/>
    </row>
    <row r="82" hidden="1">
      <c r="A82" s="7"/>
      <c r="I82" s="8"/>
      <c r="J82" s="47"/>
      <c r="K82" s="47"/>
    </row>
    <row r="83" hidden="1">
      <c r="A83" s="7"/>
      <c r="I83" s="8"/>
      <c r="J83" s="47"/>
      <c r="K83" s="47"/>
    </row>
    <row r="84" hidden="1">
      <c r="A84" s="7"/>
      <c r="I84" s="8"/>
      <c r="J84" s="47"/>
      <c r="K84" s="47"/>
    </row>
    <row r="85" hidden="1">
      <c r="A85" s="7"/>
      <c r="I85" s="8"/>
      <c r="J85" s="47"/>
      <c r="K85" s="47"/>
    </row>
    <row r="86" hidden="1">
      <c r="A86" s="7"/>
      <c r="I86" s="8"/>
      <c r="J86" s="47"/>
      <c r="K86" s="47"/>
    </row>
    <row r="87" hidden="1">
      <c r="A87" s="7"/>
      <c r="I87" s="8"/>
      <c r="J87" s="47"/>
      <c r="K87" s="47"/>
    </row>
    <row r="88" hidden="1">
      <c r="A88" s="7"/>
      <c r="I88" s="8"/>
      <c r="J88" s="47"/>
      <c r="K88" s="47"/>
    </row>
    <row r="89" hidden="1">
      <c r="A89" s="7"/>
      <c r="I89" s="8"/>
      <c r="J89" s="47"/>
      <c r="K89" s="47"/>
    </row>
    <row r="90" hidden="1">
      <c r="A90" s="7"/>
      <c r="I90" s="8"/>
      <c r="J90" s="47"/>
      <c r="K90" s="47"/>
    </row>
    <row r="91" hidden="1">
      <c r="A91" s="7"/>
      <c r="I91" s="8"/>
      <c r="J91" s="47"/>
      <c r="K91" s="47"/>
    </row>
    <row r="92" hidden="1">
      <c r="A92" s="9"/>
      <c r="B92" s="10"/>
      <c r="C92" s="10"/>
      <c r="D92" s="10"/>
      <c r="E92" s="10"/>
      <c r="F92" s="10"/>
      <c r="G92" s="10"/>
      <c r="H92" s="10"/>
      <c r="I92" s="11"/>
      <c r="J92" s="47"/>
      <c r="K92" s="47"/>
    </row>
    <row r="93" hidden="1">
      <c r="A93" s="47"/>
      <c r="B93" s="47"/>
      <c r="C93" s="47"/>
      <c r="D93" s="47"/>
      <c r="E93" s="47"/>
      <c r="F93" s="47"/>
      <c r="G93" s="47"/>
      <c r="H93" s="47"/>
      <c r="I93" s="47"/>
      <c r="J93" s="47"/>
      <c r="K93" s="47"/>
    </row>
    <row r="94">
      <c r="A94" s="48" t="s">
        <v>152</v>
      </c>
      <c r="B94" s="49"/>
      <c r="C94" s="49"/>
      <c r="D94" s="49"/>
      <c r="E94" s="49"/>
      <c r="F94" s="49"/>
      <c r="G94" s="49"/>
      <c r="H94" s="49"/>
      <c r="I94" s="49"/>
      <c r="J94" s="49"/>
      <c r="K94" s="49"/>
      <c r="L94" s="49"/>
    </row>
    <row r="95">
      <c r="A95" s="50" t="s">
        <v>110</v>
      </c>
      <c r="B95" s="50" t="s">
        <v>58</v>
      </c>
      <c r="C95" s="50" t="s">
        <v>123</v>
      </c>
      <c r="D95" s="50" t="s">
        <v>125</v>
      </c>
      <c r="E95" s="50" t="s">
        <v>126</v>
      </c>
      <c r="F95" s="50" t="s">
        <v>127</v>
      </c>
      <c r="G95" s="50" t="s">
        <v>128</v>
      </c>
      <c r="H95" s="50" t="s">
        <v>129</v>
      </c>
      <c r="I95" s="50" t="s">
        <v>130</v>
      </c>
      <c r="J95" s="50" t="s">
        <v>131</v>
      </c>
      <c r="K95" s="50" t="s">
        <v>132</v>
      </c>
      <c r="L95" s="50" t="s">
        <v>133</v>
      </c>
    </row>
    <row r="96">
      <c r="A96" s="50">
        <v>13.0</v>
      </c>
      <c r="B96" s="50">
        <v>859.0</v>
      </c>
      <c r="C96" s="50">
        <v>859.0</v>
      </c>
      <c r="D96" s="50">
        <v>47.0</v>
      </c>
      <c r="E96" s="50">
        <v>7.0</v>
      </c>
      <c r="F96" s="50">
        <v>705.0</v>
      </c>
      <c r="G96" s="50">
        <v>3.0</v>
      </c>
      <c r="H96" s="50">
        <v>1.0</v>
      </c>
      <c r="I96" s="50">
        <v>95.0</v>
      </c>
      <c r="J96" s="50">
        <v>1.0</v>
      </c>
      <c r="K96" s="50">
        <v>0.0</v>
      </c>
      <c r="L96" s="50">
        <v>0.0</v>
      </c>
    </row>
    <row r="99"/>
    <row r="100"/>
    <row r="120">
      <c r="A120" s="3"/>
      <c r="B120" s="3"/>
      <c r="C120" s="3"/>
      <c r="D120" s="3"/>
      <c r="E120" s="3"/>
      <c r="F120" s="3"/>
      <c r="G120" s="3"/>
    </row>
    <row r="121">
      <c r="A121" s="3" t="s">
        <v>58</v>
      </c>
      <c r="B121" s="50" t="s">
        <v>153</v>
      </c>
      <c r="H121" s="17" t="s">
        <v>59</v>
      </c>
    </row>
    <row r="122">
      <c r="A122" s="3">
        <v>2166.0</v>
      </c>
      <c r="B122" s="50">
        <v>705.0</v>
      </c>
      <c r="H122" s="42" t="s">
        <v>140</v>
      </c>
    </row>
    <row r="124">
      <c r="H124" s="17" t="s">
        <v>61</v>
      </c>
    </row>
    <row r="125">
      <c r="H125" s="43" t="s">
        <v>141</v>
      </c>
    </row>
    <row r="126">
      <c r="H126" s="44" t="s">
        <v>142</v>
      </c>
    </row>
    <row r="127">
      <c r="H127" s="3" t="s">
        <v>143</v>
      </c>
    </row>
    <row r="128">
      <c r="H128" s="3" t="s">
        <v>144</v>
      </c>
    </row>
    <row r="129">
      <c r="H129" s="3" t="s">
        <v>145</v>
      </c>
    </row>
    <row r="131">
      <c r="B131" s="3"/>
      <c r="C131" s="3"/>
      <c r="D131" s="3"/>
      <c r="E131" s="3"/>
      <c r="F131" s="3"/>
      <c r="G131" s="3"/>
    </row>
    <row r="132">
      <c r="B132" s="3"/>
      <c r="C132" s="3"/>
      <c r="D132" s="3"/>
      <c r="E132" s="3"/>
      <c r="F132" s="3"/>
      <c r="G132" s="3"/>
    </row>
    <row r="133">
      <c r="B133" s="3"/>
      <c r="C133" s="3"/>
      <c r="D133" s="3"/>
      <c r="E133" s="3"/>
      <c r="F133" s="3"/>
      <c r="G133" s="3"/>
    </row>
    <row r="134">
      <c r="B134" s="3"/>
      <c r="C134" s="3"/>
      <c r="D134" s="3"/>
      <c r="E134" s="3"/>
      <c r="F134" s="3"/>
      <c r="G134" s="3"/>
    </row>
    <row r="135">
      <c r="B135" s="3"/>
      <c r="C135" s="3"/>
      <c r="D135" s="3"/>
      <c r="E135" s="3"/>
      <c r="F135" s="3"/>
      <c r="G135" s="3"/>
    </row>
  </sheetData>
  <mergeCells count="7">
    <mergeCell ref="A2:E5"/>
    <mergeCell ref="G30:L33"/>
    <mergeCell ref="N30:S33"/>
    <mergeCell ref="A39:H39"/>
    <mergeCell ref="A77:I92"/>
    <mergeCell ref="N54:T54"/>
    <mergeCell ref="H122:N122"/>
  </mergeCells>
  <conditionalFormatting sqref="A95:L96 B121:B122">
    <cfRule type="notContainsBlanks" dxfId="0" priority="1">
      <formula>LEN(TRIM(A95))&gt;0</formula>
    </cfRule>
  </conditionalFormatting>
  <printOptions gridLines="1" horizontalCentered="1"/>
  <pageMargins bottom="0.75" footer="0.0" header="0.0" left="0.7" right="0.7" top="0.75"/>
  <pageSetup fitToHeight="0" cellComments="atEnd" orientation="landscape" pageOrder="overThenDown"/>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5" max="5" width="14.88"/>
  </cols>
  <sheetData>
    <row r="1">
      <c r="A1" s="17" t="s">
        <v>100</v>
      </c>
      <c r="B1" s="3"/>
    </row>
    <row r="2">
      <c r="A2" s="20" t="s">
        <v>116</v>
      </c>
      <c r="B2" s="5"/>
      <c r="C2" s="5"/>
      <c r="D2" s="5"/>
      <c r="E2" s="6"/>
    </row>
    <row r="3">
      <c r="A3" s="7"/>
      <c r="E3" s="8"/>
    </row>
    <row r="4">
      <c r="A4" s="7"/>
      <c r="E4" s="8"/>
    </row>
    <row r="5">
      <c r="A5" s="9"/>
      <c r="B5" s="10"/>
      <c r="C5" s="10"/>
      <c r="D5" s="10"/>
      <c r="E5" s="11"/>
    </row>
    <row r="6">
      <c r="B6" s="3"/>
    </row>
    <row r="7">
      <c r="A7" s="3"/>
      <c r="B7" s="3"/>
    </row>
    <row r="8">
      <c r="A8" s="17" t="s">
        <v>107</v>
      </c>
      <c r="B8" s="3"/>
      <c r="D8" s="17" t="s">
        <v>108</v>
      </c>
      <c r="G8" s="17" t="s">
        <v>109</v>
      </c>
    </row>
    <row r="10">
      <c r="A10" s="21" t="s">
        <v>117</v>
      </c>
      <c r="B10" s="21" t="s">
        <v>58</v>
      </c>
    </row>
    <row r="11">
      <c r="A11" s="3">
        <v>6.0</v>
      </c>
      <c r="B11" s="3">
        <v>1309.0</v>
      </c>
    </row>
    <row r="12">
      <c r="A12" s="3">
        <v>5.0</v>
      </c>
      <c r="B12" s="3">
        <v>1166.0</v>
      </c>
    </row>
    <row r="13">
      <c r="A13" s="3">
        <v>14.0</v>
      </c>
      <c r="B13" s="3">
        <v>2077.0</v>
      </c>
    </row>
    <row r="14">
      <c r="A14" s="3">
        <v>0.0</v>
      </c>
      <c r="B14" s="3">
        <v>1036.0</v>
      </c>
    </row>
    <row r="15">
      <c r="A15" s="3">
        <v>15.0</v>
      </c>
      <c r="B15" s="3">
        <v>2102.0</v>
      </c>
    </row>
    <row r="16">
      <c r="A16" s="3">
        <v>7.0</v>
      </c>
      <c r="B16" s="3">
        <v>1481.0</v>
      </c>
    </row>
    <row r="17">
      <c r="A17" s="3">
        <v>8.0</v>
      </c>
      <c r="B17" s="3">
        <v>1564.0</v>
      </c>
    </row>
    <row r="18">
      <c r="A18" s="3">
        <v>16.0</v>
      </c>
      <c r="B18" s="3">
        <v>1929.0</v>
      </c>
    </row>
    <row r="19">
      <c r="A19" s="3">
        <v>23.0</v>
      </c>
      <c r="B19" s="3">
        <v>987.0</v>
      </c>
    </row>
    <row r="20">
      <c r="A20" s="3">
        <v>1.0</v>
      </c>
      <c r="B20" s="3">
        <v>1149.0</v>
      </c>
    </row>
    <row r="21">
      <c r="A21" s="3">
        <v>13.0</v>
      </c>
      <c r="B21" s="3">
        <v>2166.0</v>
      </c>
    </row>
    <row r="22">
      <c r="A22" s="3">
        <v>19.0</v>
      </c>
      <c r="B22" s="3">
        <v>1299.0</v>
      </c>
    </row>
    <row r="23">
      <c r="A23" s="3">
        <v>3.0</v>
      </c>
      <c r="B23" s="3">
        <v>883.0</v>
      </c>
    </row>
    <row r="24">
      <c r="A24" s="3">
        <v>22.0</v>
      </c>
      <c r="B24" s="3">
        <v>931.0</v>
      </c>
    </row>
    <row r="25">
      <c r="A25" s="3">
        <v>20.0</v>
      </c>
      <c r="B25" s="3">
        <v>1186.0</v>
      </c>
    </row>
    <row r="26">
      <c r="A26" s="3">
        <v>11.0</v>
      </c>
      <c r="B26" s="3">
        <v>2041.0</v>
      </c>
    </row>
    <row r="27">
      <c r="A27" s="3">
        <v>9.0</v>
      </c>
      <c r="B27" s="3">
        <v>1794.0</v>
      </c>
    </row>
    <row r="28">
      <c r="A28" s="3">
        <v>12.0</v>
      </c>
      <c r="B28" s="3">
        <v>2058.0</v>
      </c>
    </row>
    <row r="29">
      <c r="A29" s="3">
        <v>2.0</v>
      </c>
      <c r="B29" s="3">
        <v>985.0</v>
      </c>
      <c r="G29" s="17" t="s">
        <v>112</v>
      </c>
      <c r="N29" s="17" t="s">
        <v>61</v>
      </c>
    </row>
    <row r="30">
      <c r="A30" s="3">
        <v>17.0</v>
      </c>
      <c r="B30" s="3">
        <v>1769.0</v>
      </c>
      <c r="G30" s="4" t="s">
        <v>154</v>
      </c>
      <c r="H30" s="5"/>
      <c r="I30" s="5"/>
      <c r="J30" s="5"/>
      <c r="K30" s="5"/>
      <c r="L30" s="6"/>
      <c r="N30" s="19" t="s">
        <v>62</v>
      </c>
      <c r="O30" s="5"/>
      <c r="P30" s="5"/>
      <c r="Q30" s="5"/>
      <c r="R30" s="5"/>
      <c r="S30" s="6"/>
    </row>
    <row r="31">
      <c r="A31" s="3">
        <v>18.0</v>
      </c>
      <c r="B31" s="3">
        <v>1537.0</v>
      </c>
      <c r="G31" s="7"/>
      <c r="L31" s="8"/>
      <c r="N31" s="7"/>
      <c r="S31" s="8"/>
    </row>
    <row r="32">
      <c r="A32" s="3">
        <v>10.0</v>
      </c>
      <c r="B32" s="3">
        <v>1859.0</v>
      </c>
      <c r="G32" s="7"/>
      <c r="L32" s="8"/>
      <c r="N32" s="7"/>
      <c r="S32" s="8"/>
    </row>
    <row r="33">
      <c r="A33" s="3">
        <v>21.0</v>
      </c>
      <c r="B33" s="3">
        <v>1051.0</v>
      </c>
      <c r="G33" s="9"/>
      <c r="H33" s="10"/>
      <c r="I33" s="10"/>
      <c r="J33" s="10"/>
      <c r="K33" s="10"/>
      <c r="L33" s="11"/>
      <c r="N33" s="9"/>
      <c r="O33" s="10"/>
      <c r="P33" s="10"/>
      <c r="Q33" s="10"/>
      <c r="R33" s="10"/>
      <c r="S33" s="11"/>
    </row>
    <row r="34">
      <c r="A34" s="3">
        <v>4.0</v>
      </c>
      <c r="B34" s="3">
        <v>1054.0</v>
      </c>
    </row>
    <row r="36">
      <c r="A36" s="17" t="s">
        <v>100</v>
      </c>
    </row>
    <row r="37">
      <c r="A37" s="3" t="s">
        <v>155</v>
      </c>
    </row>
    <row r="53">
      <c r="A53" s="3" t="s">
        <v>110</v>
      </c>
      <c r="B53" s="3" t="s">
        <v>58</v>
      </c>
      <c r="C53" s="3" t="s">
        <v>123</v>
      </c>
      <c r="D53" s="3" t="s">
        <v>124</v>
      </c>
      <c r="E53" s="3" t="s">
        <v>125</v>
      </c>
      <c r="F53" s="3" t="s">
        <v>126</v>
      </c>
      <c r="G53" s="3" t="s">
        <v>127</v>
      </c>
      <c r="H53" s="3" t="s">
        <v>128</v>
      </c>
      <c r="I53" s="3" t="s">
        <v>129</v>
      </c>
      <c r="J53" s="3" t="s">
        <v>130</v>
      </c>
      <c r="K53" s="3" t="s">
        <v>131</v>
      </c>
      <c r="L53" s="3" t="s">
        <v>132</v>
      </c>
      <c r="M53" s="3" t="s">
        <v>133</v>
      </c>
    </row>
    <row r="54">
      <c r="A54" s="3">
        <v>13.0</v>
      </c>
      <c r="B54" s="3">
        <v>2166.0</v>
      </c>
      <c r="C54" s="3">
        <v>859.0</v>
      </c>
      <c r="D54" s="3">
        <v>1277.0</v>
      </c>
      <c r="E54" s="3">
        <v>189.0</v>
      </c>
      <c r="F54" s="3">
        <v>14.0</v>
      </c>
      <c r="G54" s="3">
        <v>1590.0</v>
      </c>
      <c r="H54" s="3">
        <v>6.0</v>
      </c>
      <c r="I54" s="3">
        <v>5.0</v>
      </c>
      <c r="J54" s="3">
        <v>358.0</v>
      </c>
      <c r="K54" s="3">
        <v>1.0</v>
      </c>
      <c r="L54" s="3">
        <v>0.0</v>
      </c>
      <c r="M54" s="3">
        <v>3.0</v>
      </c>
    </row>
    <row r="56"/>
    <row r="57"/>
    <row r="60"/>
    <row r="61"/>
    <row r="82">
      <c r="A82" s="3" t="s">
        <v>59</v>
      </c>
    </row>
    <row r="83">
      <c r="A83" s="42" t="s">
        <v>156</v>
      </c>
    </row>
    <row r="88">
      <c r="A88" s="51" t="s">
        <v>101</v>
      </c>
    </row>
    <row r="89">
      <c r="A89" s="51" t="s">
        <v>157</v>
      </c>
    </row>
    <row r="90">
      <c r="A90" s="51" t="s">
        <v>158</v>
      </c>
    </row>
    <row r="91">
      <c r="A91" s="51" t="s">
        <v>159</v>
      </c>
    </row>
    <row r="92">
      <c r="A92" s="51" t="s">
        <v>160</v>
      </c>
    </row>
    <row r="93">
      <c r="A93" s="51" t="s">
        <v>161</v>
      </c>
    </row>
    <row r="94">
      <c r="A94" s="51" t="s">
        <v>162</v>
      </c>
    </row>
    <row r="95">
      <c r="A95" s="51" t="s">
        <v>163</v>
      </c>
    </row>
    <row r="96">
      <c r="A96" s="51" t="s">
        <v>164</v>
      </c>
    </row>
    <row r="97">
      <c r="A97" s="51" t="s">
        <v>165</v>
      </c>
    </row>
    <row r="98">
      <c r="A98" s="51" t="s">
        <v>166</v>
      </c>
    </row>
    <row r="99">
      <c r="A99" s="51" t="s">
        <v>167</v>
      </c>
    </row>
    <row r="100">
      <c r="A100" s="51" t="s">
        <v>168</v>
      </c>
    </row>
    <row r="101">
      <c r="A101" s="51" t="s">
        <v>104</v>
      </c>
    </row>
    <row r="102">
      <c r="A102" s="51" t="s">
        <v>105</v>
      </c>
    </row>
    <row r="103">
      <c r="A103" s="51" t="s">
        <v>106</v>
      </c>
    </row>
  </sheetData>
  <mergeCells count="6">
    <mergeCell ref="A2:E5"/>
    <mergeCell ref="G30:L33"/>
    <mergeCell ref="N30:S33"/>
    <mergeCell ref="A37:I51"/>
    <mergeCell ref="A52:H52"/>
    <mergeCell ref="A83:G83"/>
  </mergeCells>
  <printOptions gridLines="1" horizontalCentered="1"/>
  <pageMargins bottom="0.75" footer="0.0" header="0.0" left="0.7" right="0.7" top="0.75"/>
  <pageSetup fitToHeight="0" cellComments="atEnd" orientation="landscape" pageOrder="overThenDown"/>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52" t="s">
        <v>169</v>
      </c>
      <c r="B1" s="27"/>
      <c r="C1" s="27"/>
      <c r="D1" s="27"/>
      <c r="E1" s="27"/>
      <c r="F1" s="53"/>
      <c r="G1" s="27"/>
      <c r="H1" s="27"/>
      <c r="I1" s="53"/>
      <c r="J1" s="27"/>
      <c r="K1" s="27"/>
      <c r="L1" s="27"/>
      <c r="M1" s="27"/>
      <c r="N1" s="27"/>
      <c r="O1" s="27"/>
      <c r="P1" s="27"/>
      <c r="Q1" s="27"/>
      <c r="R1" s="27"/>
      <c r="S1" s="27"/>
      <c r="T1" s="27"/>
      <c r="U1" s="27"/>
      <c r="V1" s="27"/>
      <c r="W1" s="27"/>
      <c r="X1" s="27"/>
      <c r="Y1" s="27"/>
      <c r="Z1" s="27"/>
    </row>
    <row r="2">
      <c r="A2" s="54" t="s">
        <v>170</v>
      </c>
      <c r="B2" s="5"/>
      <c r="C2" s="5"/>
      <c r="D2" s="5"/>
      <c r="E2" s="6"/>
      <c r="F2" s="27"/>
      <c r="G2" s="53"/>
      <c r="H2" s="27"/>
      <c r="I2" s="55"/>
      <c r="J2" s="27"/>
      <c r="K2" s="27"/>
      <c r="L2" s="27"/>
      <c r="M2" s="27"/>
      <c r="N2" s="27"/>
      <c r="O2" s="27"/>
      <c r="P2" s="27"/>
      <c r="Q2" s="27"/>
      <c r="R2" s="27"/>
      <c r="S2" s="27"/>
      <c r="T2" s="27"/>
      <c r="U2" s="27"/>
      <c r="V2" s="27"/>
      <c r="W2" s="27"/>
      <c r="X2" s="27"/>
      <c r="Y2" s="27"/>
      <c r="Z2" s="27"/>
    </row>
    <row r="3">
      <c r="A3" s="7"/>
      <c r="E3" s="8"/>
      <c r="F3" s="27"/>
      <c r="G3" s="27"/>
      <c r="H3" s="27"/>
      <c r="I3" s="27"/>
      <c r="J3" s="27"/>
      <c r="K3" s="27"/>
      <c r="L3" s="27"/>
      <c r="M3" s="27"/>
      <c r="N3" s="27"/>
      <c r="O3" s="27"/>
      <c r="P3" s="27"/>
      <c r="Q3" s="27"/>
      <c r="R3" s="27"/>
      <c r="S3" s="27"/>
      <c r="T3" s="27"/>
      <c r="U3" s="27"/>
      <c r="V3" s="27"/>
      <c r="W3" s="27"/>
      <c r="X3" s="27"/>
      <c r="Y3" s="27"/>
      <c r="Z3" s="27"/>
    </row>
    <row r="4">
      <c r="A4" s="7"/>
      <c r="E4" s="8"/>
      <c r="F4" s="27"/>
      <c r="G4" s="27"/>
      <c r="H4" s="27"/>
      <c r="I4" s="27"/>
      <c r="J4" s="56"/>
      <c r="K4" s="27"/>
      <c r="L4" s="27"/>
      <c r="M4" s="27"/>
      <c r="N4" s="55"/>
      <c r="O4" s="27"/>
      <c r="P4" s="27"/>
      <c r="Q4" s="27"/>
      <c r="R4" s="27"/>
      <c r="S4" s="27"/>
      <c r="T4" s="27"/>
      <c r="U4" s="27"/>
      <c r="V4" s="27"/>
      <c r="W4" s="27"/>
      <c r="X4" s="27"/>
      <c r="Y4" s="27"/>
      <c r="Z4" s="27"/>
    </row>
    <row r="5">
      <c r="A5" s="7"/>
      <c r="E5" s="8"/>
      <c r="F5" s="27"/>
      <c r="G5" s="27"/>
      <c r="H5" s="27"/>
      <c r="I5" s="27"/>
      <c r="J5" s="57"/>
      <c r="K5" s="27"/>
      <c r="L5" s="27"/>
      <c r="M5" s="27"/>
      <c r="N5" s="58"/>
      <c r="O5" s="27"/>
      <c r="P5" s="27"/>
      <c r="Q5" s="27"/>
      <c r="R5" s="27"/>
      <c r="S5" s="27"/>
      <c r="T5" s="27"/>
      <c r="U5" s="27"/>
      <c r="V5" s="27"/>
      <c r="W5" s="27"/>
      <c r="X5" s="27"/>
      <c r="Y5" s="27"/>
      <c r="Z5" s="27"/>
    </row>
    <row r="6">
      <c r="A6" s="7"/>
      <c r="E6" s="8"/>
      <c r="F6" s="27"/>
      <c r="G6" s="27"/>
      <c r="H6" s="27"/>
      <c r="I6" s="27"/>
      <c r="J6" s="57"/>
      <c r="K6" s="27"/>
      <c r="L6" s="27"/>
      <c r="M6" s="27"/>
      <c r="N6" s="27"/>
      <c r="O6" s="27"/>
      <c r="P6" s="27"/>
      <c r="Q6" s="27"/>
      <c r="R6" s="27"/>
      <c r="S6" s="27"/>
      <c r="T6" s="27"/>
      <c r="U6" s="27"/>
      <c r="V6" s="27"/>
      <c r="W6" s="27"/>
      <c r="X6" s="27"/>
      <c r="Y6" s="27"/>
      <c r="Z6" s="27"/>
    </row>
    <row r="7">
      <c r="A7" s="9"/>
      <c r="B7" s="10"/>
      <c r="C7" s="10"/>
      <c r="D7" s="10"/>
      <c r="E7" s="11"/>
      <c r="F7" s="27"/>
      <c r="G7" s="27"/>
      <c r="H7" s="27"/>
      <c r="I7" s="27"/>
      <c r="J7" s="56"/>
      <c r="K7" s="27"/>
      <c r="L7" s="27"/>
      <c r="M7" s="27"/>
      <c r="N7" s="27"/>
      <c r="O7" s="53"/>
      <c r="P7" s="27"/>
      <c r="Q7" s="27"/>
      <c r="R7" s="27"/>
      <c r="S7" s="27"/>
      <c r="T7" s="27"/>
      <c r="U7" s="27"/>
      <c r="V7" s="27"/>
      <c r="W7" s="27"/>
      <c r="X7" s="27"/>
      <c r="Y7" s="27"/>
      <c r="Z7" s="27"/>
    </row>
    <row r="8">
      <c r="A8" s="52" t="s">
        <v>81</v>
      </c>
      <c r="B8" s="27"/>
      <c r="C8" s="27"/>
      <c r="F8" s="27"/>
      <c r="G8" s="27"/>
      <c r="H8" s="27"/>
      <c r="I8" s="27"/>
      <c r="J8" s="57"/>
      <c r="K8" s="27"/>
      <c r="L8" s="27"/>
      <c r="M8" s="27"/>
      <c r="N8" s="27"/>
      <c r="O8" s="53"/>
      <c r="P8" s="27"/>
      <c r="Q8" s="27"/>
      <c r="R8" s="27"/>
      <c r="S8" s="27"/>
      <c r="T8" s="27"/>
      <c r="U8" s="27"/>
      <c r="V8" s="27"/>
      <c r="W8" s="27"/>
      <c r="X8" s="27"/>
      <c r="Y8" s="27"/>
      <c r="Z8" s="27"/>
    </row>
    <row r="9">
      <c r="A9" s="59" t="s">
        <v>171</v>
      </c>
      <c r="B9" s="60" t="s">
        <v>172</v>
      </c>
      <c r="C9" s="61" t="s">
        <v>173</v>
      </c>
      <c r="F9" s="27"/>
      <c r="G9" s="27"/>
      <c r="H9" s="27"/>
      <c r="I9" s="27"/>
      <c r="J9" s="56"/>
      <c r="K9" s="27"/>
      <c r="L9" s="27"/>
      <c r="M9" s="27"/>
      <c r="N9" s="27"/>
      <c r="O9" s="53"/>
      <c r="P9" s="27"/>
      <c r="Q9" s="27"/>
      <c r="R9" s="27"/>
      <c r="S9" s="27"/>
      <c r="T9" s="27"/>
      <c r="U9" s="27"/>
      <c r="V9" s="27"/>
      <c r="W9" s="27"/>
      <c r="X9" s="27"/>
      <c r="Y9" s="27"/>
      <c r="Z9" s="27"/>
    </row>
    <row r="10">
      <c r="A10" s="62">
        <v>9415.0</v>
      </c>
      <c r="B10" s="63">
        <v>26036.0</v>
      </c>
      <c r="C10" s="64">
        <v>35451.0</v>
      </c>
      <c r="D10" s="27"/>
      <c r="E10" s="27"/>
      <c r="F10" s="27"/>
      <c r="G10" s="27"/>
      <c r="H10" s="27"/>
      <c r="I10" s="27"/>
      <c r="J10" s="27"/>
      <c r="K10" s="27"/>
      <c r="L10" s="27"/>
      <c r="M10" s="27"/>
      <c r="N10" s="27"/>
      <c r="O10" s="27"/>
      <c r="P10" s="27"/>
      <c r="Q10" s="27"/>
      <c r="R10" s="27"/>
      <c r="S10" s="27"/>
      <c r="T10" s="27"/>
      <c r="U10" s="27"/>
      <c r="V10" s="27"/>
      <c r="W10" s="27"/>
      <c r="X10" s="27"/>
      <c r="Y10" s="27"/>
      <c r="Z10" s="27"/>
    </row>
    <row r="11">
      <c r="A11" s="65">
        <f>A10/C10</f>
        <v>0.2655778398</v>
      </c>
      <c r="B11" s="66">
        <f>B10/C10</f>
        <v>0.7344221602</v>
      </c>
      <c r="C11" s="67">
        <f>C10/C10</f>
        <v>1</v>
      </c>
      <c r="D11" s="27"/>
      <c r="E11" s="27"/>
      <c r="F11" s="27"/>
      <c r="G11" s="27"/>
      <c r="H11" s="27"/>
      <c r="I11" s="27"/>
      <c r="J11" s="27"/>
      <c r="K11" s="27"/>
      <c r="L11" s="27"/>
      <c r="M11" s="27"/>
      <c r="N11" s="27"/>
      <c r="O11" s="27"/>
      <c r="P11" s="27"/>
      <c r="Q11" s="27"/>
      <c r="R11" s="27"/>
      <c r="S11" s="27"/>
      <c r="T11" s="27"/>
      <c r="U11" s="27"/>
      <c r="V11" s="27"/>
      <c r="W11" s="27"/>
      <c r="X11" s="27"/>
      <c r="Y11" s="27"/>
      <c r="Z11" s="27"/>
    </row>
    <row r="12">
      <c r="D12" s="27"/>
      <c r="E12" s="27"/>
      <c r="F12" s="27"/>
      <c r="G12" s="27"/>
      <c r="H12" s="27"/>
      <c r="I12" s="27"/>
      <c r="J12" s="27"/>
      <c r="K12" s="27"/>
      <c r="L12" s="27"/>
      <c r="M12" s="27"/>
      <c r="N12" s="27"/>
      <c r="O12" s="27"/>
      <c r="P12" s="27"/>
      <c r="Q12" s="27"/>
      <c r="R12" s="27"/>
      <c r="S12" s="27"/>
      <c r="T12" s="27"/>
      <c r="U12" s="27"/>
      <c r="V12" s="27"/>
      <c r="W12" s="27"/>
      <c r="X12" s="27"/>
      <c r="Y12" s="27"/>
      <c r="Z12" s="27"/>
    </row>
    <row r="13">
      <c r="A13" s="52" t="s">
        <v>174</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C14" s="27"/>
      <c r="G14" s="27"/>
      <c r="H14" s="27"/>
      <c r="I14" s="27"/>
      <c r="J14" s="27"/>
      <c r="K14" s="27"/>
      <c r="L14" s="27"/>
      <c r="M14" s="27"/>
      <c r="N14" s="27"/>
      <c r="O14" s="27"/>
      <c r="P14" s="27"/>
      <c r="Q14" s="27"/>
      <c r="R14" s="27"/>
      <c r="S14" s="27"/>
      <c r="T14" s="27"/>
      <c r="U14" s="27"/>
      <c r="V14" s="27"/>
      <c r="W14" s="27"/>
      <c r="X14" s="27"/>
      <c r="Y14" s="27"/>
      <c r="Z14" s="27"/>
    </row>
    <row r="15">
      <c r="C15" s="27"/>
      <c r="G15" s="27"/>
      <c r="H15" s="27"/>
      <c r="I15" s="27"/>
      <c r="J15" s="27"/>
      <c r="K15" s="27"/>
      <c r="L15" s="27"/>
      <c r="M15" s="27"/>
      <c r="N15" s="27"/>
      <c r="O15" s="27"/>
      <c r="P15" s="27"/>
      <c r="Q15" s="27"/>
      <c r="R15" s="27"/>
      <c r="S15" s="27"/>
      <c r="T15" s="27"/>
      <c r="U15" s="27"/>
      <c r="V15" s="27"/>
      <c r="W15" s="27"/>
      <c r="X15" s="27"/>
      <c r="Y15" s="27"/>
      <c r="Z15" s="27"/>
    </row>
    <row r="16">
      <c r="C16" s="27"/>
      <c r="G16" s="27"/>
      <c r="H16" s="27"/>
      <c r="I16" s="27"/>
      <c r="J16" s="27"/>
      <c r="K16" s="27"/>
      <c r="L16" s="27"/>
      <c r="M16" s="27"/>
      <c r="N16" s="27"/>
      <c r="O16" s="27"/>
      <c r="P16" s="27"/>
      <c r="Q16" s="27"/>
      <c r="R16" s="27"/>
      <c r="S16" s="27"/>
      <c r="T16" s="27"/>
      <c r="U16" s="27"/>
      <c r="V16" s="27"/>
      <c r="W16" s="27"/>
      <c r="X16" s="27"/>
      <c r="Y16" s="27"/>
      <c r="Z16" s="27"/>
    </row>
    <row r="17">
      <c r="A17" s="27"/>
      <c r="B17" s="27"/>
      <c r="C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68" t="s">
        <v>176</v>
      </c>
      <c r="B19" s="27"/>
      <c r="C19" s="27"/>
      <c r="D19" s="27"/>
      <c r="E19" s="27"/>
      <c r="F19" s="27"/>
      <c r="G19" s="27"/>
      <c r="H19" s="27"/>
      <c r="I19" s="27"/>
      <c r="J19" s="27"/>
      <c r="K19" s="27"/>
      <c r="L19" s="27"/>
      <c r="M19" s="27"/>
      <c r="N19" s="27"/>
      <c r="O19" s="27"/>
      <c r="P19" s="69"/>
      <c r="Q19" s="27"/>
      <c r="R19" s="27"/>
      <c r="S19" s="27"/>
      <c r="T19" s="27"/>
      <c r="U19" s="27"/>
      <c r="V19" s="27"/>
      <c r="W19" s="27"/>
      <c r="X19" s="27"/>
      <c r="Y19" s="27"/>
      <c r="Z19" s="27"/>
    </row>
    <row r="20">
      <c r="A20" s="5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56"/>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56"/>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56"/>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5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5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5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5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5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5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70" t="s">
        <v>97</v>
      </c>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71" t="s">
        <v>177</v>
      </c>
      <c r="B40" s="5"/>
      <c r="C40" s="5"/>
      <c r="D40" s="5"/>
      <c r="E40" s="5"/>
      <c r="F40" s="6"/>
      <c r="G40" s="27"/>
      <c r="H40" s="27"/>
      <c r="I40" s="27"/>
      <c r="J40" s="27"/>
      <c r="K40" s="27"/>
      <c r="L40" s="27"/>
      <c r="M40" s="27"/>
      <c r="N40" s="27"/>
      <c r="O40" s="27"/>
      <c r="P40" s="27"/>
      <c r="Q40" s="27"/>
      <c r="R40" s="27"/>
      <c r="S40" s="27"/>
      <c r="T40" s="27"/>
      <c r="U40" s="27"/>
      <c r="V40" s="27"/>
      <c r="W40" s="27"/>
      <c r="X40" s="27"/>
      <c r="Y40" s="27"/>
      <c r="Z40" s="27"/>
    </row>
    <row r="41">
      <c r="A41" s="7"/>
      <c r="F41" s="8"/>
      <c r="G41" s="27"/>
      <c r="H41" s="27"/>
      <c r="I41" s="27"/>
      <c r="J41" s="27"/>
      <c r="K41" s="27"/>
      <c r="L41" s="27"/>
      <c r="M41" s="27"/>
      <c r="N41" s="27"/>
      <c r="O41" s="27"/>
      <c r="P41" s="27"/>
      <c r="Q41" s="27"/>
      <c r="R41" s="27"/>
      <c r="S41" s="27"/>
      <c r="T41" s="27"/>
      <c r="U41" s="27"/>
      <c r="V41" s="27"/>
      <c r="W41" s="27"/>
      <c r="X41" s="27"/>
      <c r="Y41" s="27"/>
      <c r="Z41" s="27"/>
    </row>
    <row r="42">
      <c r="A42" s="7"/>
      <c r="F42" s="8"/>
      <c r="G42" s="27"/>
      <c r="H42" s="27"/>
      <c r="I42" s="27"/>
      <c r="J42" s="27"/>
      <c r="K42" s="27"/>
      <c r="L42" s="27"/>
      <c r="M42" s="27"/>
      <c r="N42" s="27"/>
      <c r="O42" s="27"/>
      <c r="P42" s="27"/>
      <c r="Q42" s="27"/>
      <c r="R42" s="27"/>
      <c r="S42" s="27"/>
      <c r="T42" s="27"/>
      <c r="U42" s="27"/>
      <c r="V42" s="27"/>
      <c r="W42" s="27"/>
      <c r="X42" s="27"/>
      <c r="Y42" s="27"/>
      <c r="Z42" s="27"/>
    </row>
    <row r="43">
      <c r="A43" s="9"/>
      <c r="B43" s="10"/>
      <c r="C43" s="10"/>
      <c r="D43" s="10"/>
      <c r="E43" s="10"/>
      <c r="F43" s="11"/>
      <c r="G43" s="27"/>
      <c r="H43" s="27"/>
      <c r="I43" s="27"/>
      <c r="J43" s="27"/>
      <c r="K43" s="27"/>
      <c r="L43" s="27"/>
      <c r="M43" s="27"/>
      <c r="N43" s="27"/>
      <c r="O43" s="27"/>
      <c r="P43" s="27"/>
      <c r="Q43" s="27"/>
      <c r="R43" s="27"/>
      <c r="S43" s="27"/>
      <c r="T43" s="27"/>
      <c r="U43" s="27"/>
      <c r="V43" s="27"/>
      <c r="W43" s="27"/>
      <c r="X43" s="27"/>
      <c r="Y43" s="27"/>
      <c r="Z43" s="27"/>
    </row>
    <row r="44">
      <c r="A44" s="68" t="s">
        <v>61</v>
      </c>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71" t="s">
        <v>178</v>
      </c>
      <c r="B45" s="5"/>
      <c r="C45" s="5"/>
      <c r="D45" s="5"/>
      <c r="E45" s="5"/>
      <c r="F45" s="6"/>
      <c r="G45" s="27"/>
      <c r="H45" s="27"/>
      <c r="I45" s="27"/>
      <c r="J45" s="27"/>
      <c r="K45" s="27"/>
      <c r="L45" s="27"/>
      <c r="M45" s="27"/>
      <c r="N45" s="27"/>
      <c r="O45" s="27"/>
      <c r="P45" s="27"/>
      <c r="Q45" s="27"/>
      <c r="R45" s="27"/>
      <c r="S45" s="27"/>
      <c r="T45" s="27"/>
      <c r="U45" s="27"/>
      <c r="V45" s="27"/>
      <c r="W45" s="27"/>
      <c r="X45" s="27"/>
      <c r="Y45" s="27"/>
      <c r="Z45" s="27"/>
    </row>
    <row r="46">
      <c r="A46" s="7"/>
      <c r="F46" s="8"/>
      <c r="G46" s="27"/>
      <c r="H46" s="27"/>
      <c r="I46" s="27"/>
      <c r="J46" s="27"/>
      <c r="K46" s="27"/>
      <c r="L46" s="27"/>
      <c r="M46" s="27"/>
      <c r="N46" s="27"/>
      <c r="O46" s="27"/>
      <c r="P46" s="27"/>
      <c r="Q46" s="27"/>
      <c r="R46" s="27"/>
      <c r="S46" s="27"/>
      <c r="T46" s="27"/>
      <c r="U46" s="27"/>
      <c r="V46" s="27"/>
      <c r="W46" s="27"/>
      <c r="X46" s="27"/>
      <c r="Y46" s="27"/>
      <c r="Z46" s="27"/>
    </row>
    <row r="47">
      <c r="A47" s="7"/>
      <c r="F47" s="8"/>
      <c r="G47" s="27"/>
      <c r="H47" s="27"/>
      <c r="I47" s="27"/>
      <c r="J47" s="27"/>
      <c r="K47" s="27"/>
      <c r="L47" s="27"/>
      <c r="M47" s="27"/>
      <c r="N47" s="27"/>
      <c r="O47" s="27"/>
      <c r="P47" s="27"/>
      <c r="Q47" s="27"/>
      <c r="R47" s="27"/>
      <c r="S47" s="27"/>
      <c r="T47" s="27"/>
      <c r="U47" s="27"/>
      <c r="V47" s="27"/>
      <c r="W47" s="27"/>
      <c r="X47" s="27"/>
      <c r="Y47" s="27"/>
      <c r="Z47" s="27"/>
    </row>
    <row r="48">
      <c r="A48" s="7"/>
      <c r="F48" s="8"/>
      <c r="G48" s="27"/>
      <c r="H48" s="27"/>
      <c r="I48" s="27"/>
      <c r="J48" s="27"/>
      <c r="K48" s="27"/>
      <c r="L48" s="27"/>
      <c r="M48" s="27"/>
      <c r="N48" s="27"/>
      <c r="O48" s="27"/>
      <c r="P48" s="27"/>
      <c r="Q48" s="27"/>
      <c r="R48" s="27"/>
      <c r="S48" s="27"/>
      <c r="T48" s="27"/>
      <c r="U48" s="27"/>
      <c r="V48" s="27"/>
      <c r="W48" s="27"/>
      <c r="X48" s="27"/>
      <c r="Y48" s="27"/>
      <c r="Z48" s="27"/>
    </row>
    <row r="49">
      <c r="A49" s="7"/>
      <c r="F49" s="8"/>
      <c r="G49" s="27"/>
      <c r="H49" s="27"/>
      <c r="I49" s="27"/>
      <c r="J49" s="27"/>
      <c r="K49" s="27"/>
      <c r="L49" s="27"/>
      <c r="M49" s="27"/>
      <c r="N49" s="27"/>
      <c r="O49" s="27"/>
      <c r="P49" s="27"/>
      <c r="Q49" s="27"/>
      <c r="R49" s="27"/>
      <c r="S49" s="27"/>
      <c r="T49" s="27"/>
      <c r="U49" s="27"/>
      <c r="V49" s="27"/>
      <c r="W49" s="27"/>
      <c r="X49" s="27"/>
      <c r="Y49" s="27"/>
      <c r="Z49" s="27"/>
    </row>
    <row r="50">
      <c r="A50" s="7"/>
      <c r="F50" s="8"/>
      <c r="G50" s="27"/>
      <c r="H50" s="27"/>
      <c r="I50" s="27"/>
      <c r="J50" s="27"/>
      <c r="K50" s="27"/>
      <c r="L50" s="27"/>
      <c r="M50" s="27"/>
      <c r="N50" s="27"/>
      <c r="O50" s="27"/>
      <c r="P50" s="27"/>
      <c r="Q50" s="27"/>
      <c r="R50" s="27"/>
      <c r="S50" s="27"/>
      <c r="T50" s="27"/>
      <c r="U50" s="27"/>
      <c r="V50" s="27"/>
      <c r="W50" s="27"/>
      <c r="X50" s="27"/>
      <c r="Y50" s="27"/>
      <c r="Z50" s="27"/>
    </row>
    <row r="51">
      <c r="A51" s="7"/>
      <c r="F51" s="8"/>
      <c r="G51" s="27"/>
      <c r="H51" s="27"/>
      <c r="I51" s="27"/>
      <c r="J51" s="27"/>
      <c r="K51" s="27"/>
      <c r="L51" s="27"/>
      <c r="M51" s="27"/>
      <c r="N51" s="27"/>
      <c r="O51" s="27"/>
      <c r="P51" s="27"/>
      <c r="Q51" s="27"/>
      <c r="R51" s="27"/>
      <c r="S51" s="27"/>
      <c r="T51" s="27"/>
      <c r="U51" s="27"/>
      <c r="V51" s="27"/>
      <c r="W51" s="27"/>
      <c r="X51" s="27"/>
      <c r="Y51" s="27"/>
      <c r="Z51" s="27"/>
    </row>
    <row r="52">
      <c r="A52" s="7"/>
      <c r="F52" s="8"/>
      <c r="G52" s="27"/>
      <c r="H52" s="27"/>
      <c r="I52" s="27"/>
      <c r="J52" s="27"/>
      <c r="K52" s="27"/>
      <c r="L52" s="27"/>
      <c r="M52" s="27"/>
      <c r="N52" s="27"/>
      <c r="O52" s="27"/>
      <c r="P52" s="27"/>
      <c r="Q52" s="27"/>
      <c r="R52" s="27"/>
      <c r="S52" s="27"/>
      <c r="T52" s="27"/>
      <c r="U52" s="27"/>
      <c r="V52" s="27"/>
      <c r="W52" s="27"/>
      <c r="X52" s="27"/>
      <c r="Y52" s="27"/>
      <c r="Z52" s="27"/>
    </row>
    <row r="53">
      <c r="A53" s="9"/>
      <c r="B53" s="10"/>
      <c r="C53" s="10"/>
      <c r="D53" s="10"/>
      <c r="E53" s="10"/>
      <c r="F53" s="11"/>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sheetData>
  <mergeCells count="3">
    <mergeCell ref="A2:E7"/>
    <mergeCell ref="A40:F43"/>
    <mergeCell ref="A45:F53"/>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4.38"/>
  </cols>
  <sheetData>
    <row r="1" hidden="1">
      <c r="A1" s="52" t="s">
        <v>169</v>
      </c>
      <c r="B1" s="27"/>
      <c r="C1" s="27"/>
      <c r="D1" s="27"/>
      <c r="E1" s="27"/>
      <c r="F1" s="53"/>
      <c r="G1" s="27"/>
      <c r="H1" s="27"/>
      <c r="I1" s="53"/>
      <c r="J1" s="27"/>
      <c r="K1" s="27"/>
      <c r="L1" s="27"/>
      <c r="M1" s="27"/>
      <c r="N1" s="27"/>
      <c r="O1" s="27"/>
      <c r="P1" s="27"/>
      <c r="Q1" s="27"/>
      <c r="R1" s="27"/>
      <c r="S1" s="27"/>
      <c r="T1" s="27"/>
      <c r="U1" s="27"/>
      <c r="V1" s="27"/>
      <c r="W1" s="27"/>
      <c r="X1" s="27"/>
      <c r="Y1" s="27"/>
      <c r="Z1" s="27"/>
    </row>
    <row r="2" hidden="1">
      <c r="A2" s="54" t="s">
        <v>179</v>
      </c>
      <c r="B2" s="5"/>
      <c r="C2" s="5"/>
      <c r="D2" s="5"/>
      <c r="E2" s="6"/>
      <c r="F2" s="27"/>
      <c r="G2" s="53"/>
      <c r="H2" s="27"/>
      <c r="I2" s="55"/>
      <c r="J2" s="27"/>
      <c r="K2" s="27"/>
      <c r="L2" s="27"/>
      <c r="M2" s="27"/>
      <c r="N2" s="27"/>
      <c r="O2" s="27"/>
      <c r="P2" s="27"/>
      <c r="Q2" s="27"/>
      <c r="R2" s="27"/>
      <c r="S2" s="27"/>
      <c r="T2" s="27"/>
      <c r="U2" s="27"/>
      <c r="V2" s="27"/>
      <c r="W2" s="27"/>
      <c r="X2" s="27"/>
      <c r="Y2" s="27"/>
      <c r="Z2" s="27"/>
    </row>
    <row r="3" hidden="1">
      <c r="A3" s="7"/>
      <c r="E3" s="8"/>
      <c r="F3" s="27"/>
      <c r="G3" s="27"/>
      <c r="H3" s="27"/>
      <c r="I3" s="27"/>
      <c r="J3" s="27"/>
      <c r="K3" s="27"/>
      <c r="L3" s="27"/>
      <c r="M3" s="27"/>
      <c r="N3" s="27"/>
      <c r="O3" s="27"/>
      <c r="P3" s="27"/>
      <c r="Q3" s="27"/>
      <c r="R3" s="27"/>
      <c r="S3" s="27"/>
      <c r="T3" s="27"/>
      <c r="U3" s="27"/>
      <c r="V3" s="27"/>
      <c r="W3" s="27"/>
      <c r="X3" s="27"/>
      <c r="Y3" s="27"/>
      <c r="Z3" s="27"/>
    </row>
    <row r="4" hidden="1">
      <c r="A4" s="7"/>
      <c r="E4" s="8"/>
      <c r="F4" s="27"/>
      <c r="G4" s="27"/>
      <c r="H4" s="27"/>
      <c r="I4" s="27"/>
      <c r="J4" s="56"/>
      <c r="K4" s="27"/>
      <c r="L4" s="27"/>
      <c r="M4" s="27"/>
      <c r="N4" s="55"/>
      <c r="O4" s="27"/>
      <c r="P4" s="27"/>
      <c r="Q4" s="27"/>
      <c r="R4" s="27"/>
      <c r="S4" s="27"/>
      <c r="T4" s="27"/>
      <c r="U4" s="27"/>
      <c r="V4" s="27"/>
      <c r="W4" s="27"/>
      <c r="X4" s="27"/>
      <c r="Y4" s="27"/>
      <c r="Z4" s="27"/>
    </row>
    <row r="5" hidden="1">
      <c r="A5" s="7"/>
      <c r="E5" s="8"/>
      <c r="F5" s="27"/>
      <c r="G5" s="27"/>
      <c r="H5" s="27"/>
      <c r="I5" s="27"/>
      <c r="J5" s="57"/>
      <c r="K5" s="27"/>
      <c r="L5" s="27"/>
      <c r="M5" s="27"/>
      <c r="N5" s="58"/>
      <c r="O5" s="27"/>
      <c r="P5" s="27"/>
      <c r="Q5" s="27"/>
      <c r="R5" s="27"/>
      <c r="S5" s="27"/>
      <c r="T5" s="27"/>
      <c r="U5" s="27"/>
      <c r="V5" s="27"/>
      <c r="W5" s="27"/>
      <c r="X5" s="27"/>
      <c r="Y5" s="27"/>
      <c r="Z5" s="27"/>
    </row>
    <row r="6" hidden="1">
      <c r="A6" s="7"/>
      <c r="E6" s="8"/>
      <c r="F6" s="27"/>
      <c r="G6" s="27"/>
      <c r="H6" s="27"/>
      <c r="I6" s="27"/>
      <c r="J6" s="57"/>
      <c r="K6" s="27"/>
      <c r="L6" s="27"/>
      <c r="M6" s="27"/>
      <c r="N6" s="27"/>
      <c r="O6" s="27"/>
      <c r="P6" s="27"/>
      <c r="Q6" s="27"/>
      <c r="R6" s="27"/>
      <c r="S6" s="27"/>
      <c r="T6" s="27"/>
      <c r="U6" s="27"/>
      <c r="V6" s="27"/>
      <c r="W6" s="27"/>
      <c r="X6" s="27"/>
      <c r="Y6" s="27"/>
      <c r="Z6" s="27"/>
    </row>
    <row r="7" hidden="1">
      <c r="A7" s="9"/>
      <c r="B7" s="10"/>
      <c r="C7" s="10"/>
      <c r="D7" s="10"/>
      <c r="E7" s="11"/>
      <c r="F7" s="27"/>
      <c r="G7" s="27"/>
      <c r="H7" s="27"/>
      <c r="I7" s="27"/>
      <c r="J7" s="56"/>
      <c r="K7" s="27"/>
      <c r="L7" s="27"/>
      <c r="M7" s="27"/>
      <c r="N7" s="27"/>
      <c r="O7" s="53"/>
      <c r="P7" s="27"/>
      <c r="Q7" s="27"/>
      <c r="R7" s="27"/>
      <c r="S7" s="27"/>
      <c r="T7" s="27"/>
      <c r="U7" s="27"/>
      <c r="V7" s="27"/>
      <c r="W7" s="27"/>
      <c r="X7" s="27"/>
      <c r="Y7" s="27"/>
      <c r="Z7" s="27"/>
    </row>
    <row r="8">
      <c r="A8" s="52" t="s">
        <v>81</v>
      </c>
      <c r="B8" s="27"/>
      <c r="C8" s="27"/>
      <c r="F8" s="27"/>
      <c r="G8" s="27"/>
      <c r="H8" s="27"/>
      <c r="I8" s="27"/>
      <c r="J8" s="57"/>
      <c r="K8" s="27"/>
      <c r="L8" s="27"/>
      <c r="M8" s="27"/>
      <c r="N8" s="27"/>
      <c r="O8" s="53"/>
      <c r="P8" s="27"/>
      <c r="Q8" s="27"/>
      <c r="R8" s="27"/>
      <c r="S8" s="27"/>
      <c r="T8" s="27"/>
      <c r="U8" s="27"/>
      <c r="V8" s="27"/>
      <c r="W8" s="27"/>
      <c r="X8" s="27"/>
      <c r="Y8" s="27"/>
      <c r="Z8" s="27"/>
    </row>
    <row r="9">
      <c r="A9" s="72" t="s">
        <v>135</v>
      </c>
      <c r="B9" s="72" t="s">
        <v>180</v>
      </c>
      <c r="C9" s="73"/>
      <c r="F9" s="27"/>
      <c r="G9" s="27"/>
      <c r="H9" s="27"/>
      <c r="I9" s="27"/>
      <c r="J9" s="56"/>
      <c r="K9" s="27"/>
      <c r="L9" s="27"/>
      <c r="M9" s="27"/>
      <c r="N9" s="27"/>
      <c r="O9" s="53"/>
      <c r="P9" s="27"/>
      <c r="Q9" s="27"/>
      <c r="R9" s="27"/>
      <c r="S9" s="27"/>
      <c r="T9" s="27"/>
      <c r="U9" s="27"/>
      <c r="V9" s="27"/>
      <c r="W9" s="27"/>
      <c r="X9" s="27"/>
      <c r="Y9" s="27"/>
      <c r="Z9" s="27"/>
    </row>
    <row r="10">
      <c r="A10" s="74" t="s">
        <v>181</v>
      </c>
      <c r="B10" s="74">
        <v>9121.0</v>
      </c>
      <c r="C10" s="63"/>
      <c r="D10" s="69"/>
      <c r="E10" s="27"/>
      <c r="F10" s="27"/>
      <c r="G10" s="27"/>
      <c r="H10" s="27"/>
      <c r="I10" s="27"/>
      <c r="J10" s="27"/>
      <c r="K10" s="27"/>
      <c r="L10" s="27"/>
      <c r="M10" s="27"/>
      <c r="N10" s="27"/>
      <c r="O10" s="27"/>
      <c r="P10" s="27"/>
      <c r="Q10" s="27"/>
      <c r="R10" s="27"/>
      <c r="S10" s="27"/>
      <c r="T10" s="27"/>
      <c r="U10" s="27"/>
      <c r="V10" s="27"/>
      <c r="W10" s="27"/>
      <c r="X10" s="27"/>
      <c r="Y10" s="27"/>
      <c r="Z10" s="27"/>
    </row>
    <row r="11">
      <c r="A11" s="74" t="s">
        <v>175</v>
      </c>
      <c r="B11" s="74">
        <v>26292.0</v>
      </c>
      <c r="C11" s="75"/>
      <c r="D11" s="27"/>
      <c r="E11" s="27"/>
      <c r="F11" s="27"/>
      <c r="G11" s="27"/>
      <c r="H11" s="27"/>
      <c r="I11" s="27"/>
      <c r="J11" s="27"/>
      <c r="K11" s="27"/>
      <c r="L11" s="27"/>
      <c r="M11" s="27"/>
      <c r="N11" s="27"/>
      <c r="O11" s="27"/>
      <c r="P11" s="27"/>
      <c r="Q11" s="27"/>
      <c r="R11" s="27"/>
      <c r="S11" s="27"/>
      <c r="T11" s="27"/>
      <c r="U11" s="27"/>
      <c r="V11" s="27"/>
      <c r="W11" s="27"/>
      <c r="X11" s="27"/>
      <c r="Y11" s="27"/>
      <c r="Z11" s="27"/>
    </row>
    <row r="12">
      <c r="D12" s="27"/>
      <c r="E12" s="27"/>
      <c r="F12" s="27"/>
      <c r="G12" s="27"/>
      <c r="H12" s="27"/>
      <c r="I12" s="27"/>
      <c r="J12" s="27"/>
      <c r="K12" s="27"/>
      <c r="L12" s="27"/>
      <c r="M12" s="27"/>
      <c r="N12" s="27"/>
      <c r="O12" s="27"/>
      <c r="P12" s="27"/>
      <c r="Q12" s="27"/>
      <c r="R12" s="27"/>
      <c r="S12" s="27"/>
      <c r="T12" s="27"/>
      <c r="U12" s="27"/>
      <c r="V12" s="27"/>
      <c r="W12" s="27"/>
      <c r="X12" s="27"/>
      <c r="Y12" s="27"/>
      <c r="Z12" s="27"/>
    </row>
    <row r="13">
      <c r="A13" s="52" t="s">
        <v>174</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C14" s="27"/>
      <c r="G14" s="27"/>
      <c r="H14" s="27"/>
      <c r="I14" s="27"/>
      <c r="J14" s="27"/>
      <c r="K14" s="27"/>
      <c r="L14" s="27"/>
      <c r="M14" s="27"/>
      <c r="N14" s="27"/>
      <c r="O14" s="27"/>
      <c r="P14" s="27"/>
      <c r="Q14" s="27"/>
      <c r="R14" s="27"/>
      <c r="S14" s="27"/>
      <c r="T14" s="27"/>
      <c r="U14" s="27"/>
      <c r="V14" s="27"/>
      <c r="W14" s="27"/>
      <c r="X14" s="27"/>
      <c r="Y14" s="27"/>
      <c r="Z14" s="27"/>
    </row>
    <row r="15">
      <c r="C15" s="27"/>
      <c r="G15" s="27"/>
      <c r="H15" s="27"/>
      <c r="I15" s="27"/>
      <c r="J15" s="27"/>
      <c r="K15" s="27"/>
      <c r="L15" s="27"/>
      <c r="M15" s="27"/>
      <c r="N15" s="27"/>
      <c r="O15" s="27"/>
      <c r="P15" s="27"/>
      <c r="Q15" s="27"/>
      <c r="R15" s="27"/>
      <c r="S15" s="27"/>
      <c r="T15" s="27"/>
      <c r="U15" s="27"/>
      <c r="V15" s="27"/>
      <c r="W15" s="27"/>
      <c r="X15" s="27"/>
      <c r="Y15" s="27"/>
      <c r="Z15" s="27"/>
    </row>
    <row r="16">
      <c r="C16" s="27"/>
      <c r="G16" s="27"/>
      <c r="H16" s="27"/>
      <c r="I16" s="27"/>
      <c r="J16" s="27"/>
      <c r="K16" s="27"/>
      <c r="L16" s="27"/>
      <c r="M16" s="27"/>
      <c r="N16" s="27"/>
      <c r="O16" s="27"/>
      <c r="P16" s="27"/>
      <c r="Q16" s="27"/>
      <c r="R16" s="27"/>
      <c r="S16" s="27"/>
      <c r="T16" s="27"/>
      <c r="U16" s="27"/>
      <c r="V16" s="27"/>
      <c r="W16" s="27"/>
      <c r="X16" s="27"/>
      <c r="Y16" s="27"/>
      <c r="Z16" s="27"/>
    </row>
    <row r="17">
      <c r="C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68" t="s">
        <v>176</v>
      </c>
      <c r="B19" s="27"/>
      <c r="C19" s="27"/>
      <c r="D19" s="27"/>
      <c r="E19" s="27"/>
      <c r="F19" s="27"/>
      <c r="G19" s="27"/>
      <c r="H19" s="27"/>
      <c r="I19" s="27"/>
      <c r="J19" s="27"/>
      <c r="K19" s="27"/>
      <c r="L19" s="27"/>
      <c r="M19" s="27"/>
      <c r="N19" s="27"/>
      <c r="O19" s="27"/>
      <c r="P19" s="69"/>
      <c r="Q19" s="27"/>
      <c r="R19" s="27"/>
      <c r="S19" s="27"/>
      <c r="T19" s="27"/>
      <c r="U19" s="27"/>
      <c r="V19" s="27"/>
      <c r="W19" s="27"/>
      <c r="X19" s="27"/>
      <c r="Y19" s="27"/>
      <c r="Z19" s="27"/>
    </row>
    <row r="20">
      <c r="A20" s="5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56"/>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56"/>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56"/>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5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5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5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5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5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5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70" t="s">
        <v>59</v>
      </c>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71" t="s">
        <v>182</v>
      </c>
      <c r="B40" s="5"/>
      <c r="C40" s="5"/>
      <c r="D40" s="5"/>
      <c r="E40" s="5"/>
      <c r="F40" s="6"/>
      <c r="G40" s="27"/>
      <c r="H40" s="27"/>
      <c r="I40" s="27"/>
      <c r="J40" s="27"/>
      <c r="K40" s="27"/>
      <c r="L40" s="27"/>
      <c r="M40" s="27"/>
      <c r="N40" s="27"/>
      <c r="O40" s="27"/>
      <c r="P40" s="27"/>
      <c r="Q40" s="27"/>
      <c r="R40" s="27"/>
      <c r="S40" s="27"/>
      <c r="T40" s="27"/>
      <c r="U40" s="27"/>
      <c r="V40" s="27"/>
      <c r="W40" s="27"/>
      <c r="X40" s="27"/>
      <c r="Y40" s="27"/>
      <c r="Z40" s="27"/>
    </row>
    <row r="41">
      <c r="A41" s="7"/>
      <c r="F41" s="8"/>
      <c r="G41" s="27"/>
      <c r="H41" s="27"/>
      <c r="I41" s="27"/>
      <c r="J41" s="27"/>
      <c r="K41" s="27"/>
      <c r="L41" s="27"/>
      <c r="M41" s="27"/>
      <c r="N41" s="27"/>
      <c r="O41" s="27"/>
      <c r="P41" s="27"/>
      <c r="Q41" s="27"/>
      <c r="R41" s="27"/>
      <c r="S41" s="27"/>
      <c r="T41" s="27"/>
      <c r="U41" s="27"/>
      <c r="V41" s="27"/>
      <c r="W41" s="27"/>
      <c r="X41" s="27"/>
      <c r="Y41" s="27"/>
      <c r="Z41" s="27"/>
    </row>
    <row r="42">
      <c r="A42" s="7"/>
      <c r="F42" s="8"/>
      <c r="G42" s="27"/>
      <c r="H42" s="27"/>
      <c r="I42" s="27"/>
      <c r="J42" s="27"/>
      <c r="K42" s="27"/>
      <c r="L42" s="27"/>
      <c r="M42" s="27"/>
      <c r="N42" s="27"/>
      <c r="O42" s="27"/>
      <c r="P42" s="27"/>
      <c r="Q42" s="27"/>
      <c r="R42" s="27"/>
      <c r="S42" s="27"/>
      <c r="T42" s="27"/>
      <c r="U42" s="27"/>
      <c r="V42" s="27"/>
      <c r="W42" s="27"/>
      <c r="X42" s="27"/>
      <c r="Y42" s="27"/>
      <c r="Z42" s="27"/>
    </row>
    <row r="43">
      <c r="A43" s="9"/>
      <c r="B43" s="10"/>
      <c r="C43" s="10"/>
      <c r="D43" s="10"/>
      <c r="E43" s="10"/>
      <c r="F43" s="11"/>
      <c r="G43" s="27"/>
      <c r="H43" s="27"/>
      <c r="I43" s="27"/>
      <c r="J43" s="27"/>
      <c r="K43" s="27"/>
      <c r="L43" s="27"/>
      <c r="M43" s="27"/>
      <c r="N43" s="27"/>
      <c r="O43" s="27"/>
      <c r="P43" s="27"/>
      <c r="Q43" s="27"/>
      <c r="R43" s="27"/>
      <c r="S43" s="27"/>
      <c r="T43" s="27"/>
      <c r="U43" s="27"/>
      <c r="V43" s="27"/>
      <c r="W43" s="27"/>
      <c r="X43" s="27"/>
      <c r="Y43" s="27"/>
      <c r="Z43" s="27"/>
    </row>
    <row r="44">
      <c r="A44" s="68" t="s">
        <v>183</v>
      </c>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71" t="s">
        <v>184</v>
      </c>
      <c r="B45" s="5"/>
      <c r="C45" s="5"/>
      <c r="D45" s="5"/>
      <c r="E45" s="5"/>
      <c r="F45" s="6"/>
      <c r="G45" s="27"/>
      <c r="H45" s="27"/>
      <c r="I45" s="27"/>
      <c r="J45" s="27"/>
      <c r="K45" s="27"/>
      <c r="L45" s="27"/>
      <c r="M45" s="27"/>
      <c r="N45" s="27"/>
      <c r="O45" s="27"/>
      <c r="P45" s="27"/>
      <c r="Q45" s="27"/>
      <c r="R45" s="27"/>
      <c r="S45" s="27"/>
      <c r="T45" s="27"/>
      <c r="U45" s="27"/>
      <c r="V45" s="27"/>
      <c r="W45" s="27"/>
      <c r="X45" s="27"/>
      <c r="Y45" s="27"/>
      <c r="Z45" s="27"/>
    </row>
    <row r="46">
      <c r="A46" s="7"/>
      <c r="F46" s="8"/>
      <c r="G46" s="27"/>
      <c r="H46" s="27"/>
      <c r="I46" s="27"/>
      <c r="J46" s="27"/>
      <c r="K46" s="27"/>
      <c r="L46" s="27"/>
      <c r="M46" s="27"/>
      <c r="N46" s="27"/>
      <c r="O46" s="27"/>
      <c r="P46" s="27"/>
      <c r="Q46" s="27"/>
      <c r="R46" s="27"/>
      <c r="S46" s="27"/>
      <c r="T46" s="27"/>
      <c r="U46" s="27"/>
      <c r="V46" s="27"/>
      <c r="W46" s="27"/>
      <c r="X46" s="27"/>
      <c r="Y46" s="27"/>
      <c r="Z46" s="27"/>
    </row>
    <row r="47">
      <c r="A47" s="7"/>
      <c r="F47" s="8"/>
      <c r="G47" s="27"/>
      <c r="H47" s="27"/>
      <c r="I47" s="27"/>
      <c r="J47" s="27"/>
      <c r="K47" s="27"/>
      <c r="L47" s="27"/>
      <c r="M47" s="27"/>
      <c r="N47" s="27"/>
      <c r="O47" s="27"/>
      <c r="P47" s="27"/>
      <c r="Q47" s="27"/>
      <c r="R47" s="27"/>
      <c r="S47" s="27"/>
      <c r="T47" s="27"/>
      <c r="U47" s="27"/>
      <c r="V47" s="27"/>
      <c r="W47" s="27"/>
      <c r="X47" s="27"/>
      <c r="Y47" s="27"/>
      <c r="Z47" s="27"/>
    </row>
    <row r="48">
      <c r="A48" s="7"/>
      <c r="F48" s="8"/>
      <c r="G48" s="27"/>
      <c r="H48" s="27"/>
      <c r="I48" s="27"/>
      <c r="J48" s="27"/>
      <c r="K48" s="27"/>
      <c r="L48" s="27"/>
      <c r="M48" s="27"/>
      <c r="N48" s="27"/>
      <c r="O48" s="27"/>
      <c r="P48" s="27"/>
      <c r="Q48" s="27"/>
      <c r="R48" s="27"/>
      <c r="S48" s="27"/>
      <c r="T48" s="27"/>
      <c r="U48" s="27"/>
      <c r="V48" s="27"/>
      <c r="W48" s="27"/>
      <c r="X48" s="27"/>
      <c r="Y48" s="27"/>
      <c r="Z48" s="27"/>
    </row>
    <row r="49">
      <c r="A49" s="7"/>
      <c r="F49" s="8"/>
      <c r="G49" s="27"/>
      <c r="H49" s="27"/>
      <c r="I49" s="27"/>
      <c r="J49" s="27"/>
      <c r="K49" s="27"/>
      <c r="L49" s="27"/>
      <c r="M49" s="27"/>
      <c r="N49" s="27"/>
      <c r="O49" s="27"/>
      <c r="P49" s="27"/>
      <c r="Q49" s="27"/>
      <c r="R49" s="27"/>
      <c r="S49" s="27"/>
      <c r="T49" s="27"/>
      <c r="U49" s="27"/>
      <c r="V49" s="27"/>
      <c r="W49" s="27"/>
      <c r="X49" s="27"/>
      <c r="Y49" s="27"/>
      <c r="Z49" s="27"/>
    </row>
    <row r="50">
      <c r="A50" s="7"/>
      <c r="F50" s="8"/>
      <c r="G50" s="27"/>
      <c r="H50" s="27"/>
      <c r="I50" s="27"/>
      <c r="J50" s="27"/>
      <c r="K50" s="27"/>
      <c r="L50" s="27"/>
      <c r="M50" s="27"/>
      <c r="N50" s="27"/>
      <c r="O50" s="27"/>
      <c r="P50" s="27"/>
      <c r="Q50" s="27"/>
      <c r="R50" s="27"/>
      <c r="S50" s="27"/>
      <c r="T50" s="27"/>
      <c r="U50" s="27"/>
      <c r="V50" s="27"/>
      <c r="W50" s="27"/>
      <c r="X50" s="27"/>
      <c r="Y50" s="27"/>
      <c r="Z50" s="27"/>
    </row>
    <row r="51">
      <c r="A51" s="7"/>
      <c r="F51" s="8"/>
      <c r="G51" s="27"/>
      <c r="H51" s="27"/>
      <c r="I51" s="27"/>
      <c r="J51" s="27"/>
      <c r="K51" s="27"/>
      <c r="L51" s="27"/>
      <c r="M51" s="27"/>
      <c r="N51" s="27"/>
      <c r="O51" s="27"/>
      <c r="P51" s="27"/>
      <c r="Q51" s="27"/>
      <c r="R51" s="27"/>
      <c r="S51" s="27"/>
      <c r="T51" s="27"/>
      <c r="U51" s="27"/>
      <c r="V51" s="27"/>
      <c r="W51" s="27"/>
      <c r="X51" s="27"/>
      <c r="Y51" s="27"/>
      <c r="Z51" s="27"/>
    </row>
    <row r="52">
      <c r="A52" s="7"/>
      <c r="F52" s="8"/>
      <c r="G52" s="27"/>
      <c r="H52" s="27"/>
      <c r="I52" s="27"/>
      <c r="J52" s="27"/>
      <c r="K52" s="27"/>
      <c r="L52" s="27"/>
      <c r="M52" s="27"/>
      <c r="N52" s="27"/>
      <c r="O52" s="27"/>
      <c r="P52" s="27"/>
      <c r="Q52" s="27"/>
      <c r="R52" s="27"/>
      <c r="S52" s="27"/>
      <c r="T52" s="27"/>
      <c r="U52" s="27"/>
      <c r="V52" s="27"/>
      <c r="W52" s="27"/>
      <c r="X52" s="27"/>
      <c r="Y52" s="27"/>
      <c r="Z52" s="27"/>
    </row>
    <row r="53">
      <c r="A53" s="9"/>
      <c r="B53" s="10"/>
      <c r="C53" s="10"/>
      <c r="D53" s="10"/>
      <c r="E53" s="10"/>
      <c r="F53" s="11"/>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sheetData>
  <mergeCells count="3">
    <mergeCell ref="A2:E7"/>
    <mergeCell ref="A40:F43"/>
    <mergeCell ref="A45:F53"/>
  </mergeCell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7.13"/>
  </cols>
  <sheetData>
    <row r="1" hidden="1">
      <c r="A1" s="17" t="s">
        <v>55</v>
      </c>
    </row>
    <row r="2" hidden="1">
      <c r="A2" s="76" t="s">
        <v>185</v>
      </c>
      <c r="B2" s="5"/>
      <c r="C2" s="5"/>
      <c r="D2" s="6"/>
    </row>
    <row r="3" hidden="1">
      <c r="A3" s="7"/>
      <c r="D3" s="8"/>
    </row>
    <row r="4" hidden="1">
      <c r="A4" s="7"/>
      <c r="D4" s="8"/>
    </row>
    <row r="5" hidden="1">
      <c r="A5" s="9"/>
      <c r="B5" s="10"/>
      <c r="C5" s="10"/>
      <c r="D5" s="11"/>
    </row>
    <row r="6" hidden="1"/>
    <row r="7">
      <c r="A7" s="17" t="s">
        <v>81</v>
      </c>
    </row>
    <row r="8">
      <c r="A8" s="77" t="s">
        <v>186</v>
      </c>
      <c r="B8" s="77" t="s">
        <v>85</v>
      </c>
    </row>
    <row r="9">
      <c r="A9" s="78" t="s">
        <v>187</v>
      </c>
      <c r="B9" s="78">
        <v>20102.0</v>
      </c>
    </row>
    <row r="10">
      <c r="A10" s="78" t="s">
        <v>188</v>
      </c>
      <c r="B10" s="78">
        <v>14829.0</v>
      </c>
    </row>
    <row r="12">
      <c r="A12" s="17" t="s">
        <v>189</v>
      </c>
    </row>
    <row r="13"/>
    <row r="14"/>
    <row r="15"/>
    <row r="16"/>
    <row r="17">
      <c r="A17" s="17" t="s">
        <v>192</v>
      </c>
    </row>
    <row r="36">
      <c r="A36" s="17" t="s">
        <v>193</v>
      </c>
    </row>
    <row r="37">
      <c r="A37" s="4" t="s">
        <v>194</v>
      </c>
      <c r="B37" s="5"/>
      <c r="C37" s="5"/>
      <c r="D37" s="5"/>
      <c r="E37" s="5"/>
      <c r="F37" s="6"/>
    </row>
    <row r="38">
      <c r="A38" s="7"/>
      <c r="F38" s="8"/>
    </row>
    <row r="39">
      <c r="A39" s="7"/>
      <c r="F39" s="8"/>
    </row>
    <row r="40">
      <c r="A40" s="7"/>
      <c r="F40" s="8"/>
    </row>
    <row r="41">
      <c r="A41" s="7"/>
      <c r="F41" s="8"/>
    </row>
    <row r="42">
      <c r="A42" s="9"/>
      <c r="B42" s="10"/>
      <c r="C42" s="10"/>
      <c r="D42" s="10"/>
      <c r="E42" s="10"/>
      <c r="F42" s="11"/>
    </row>
    <row r="43">
      <c r="A43" s="17" t="s">
        <v>61</v>
      </c>
    </row>
    <row r="44">
      <c r="A44" s="19" t="s">
        <v>195</v>
      </c>
      <c r="B44" s="5"/>
      <c r="C44" s="5"/>
      <c r="D44" s="5"/>
      <c r="E44" s="5"/>
      <c r="F44" s="6"/>
    </row>
    <row r="45">
      <c r="A45" s="7"/>
      <c r="F45" s="8"/>
    </row>
    <row r="46">
      <c r="A46" s="7"/>
      <c r="F46" s="8"/>
    </row>
    <row r="47">
      <c r="A47" s="9"/>
      <c r="B47" s="10"/>
      <c r="C47" s="10"/>
      <c r="D47" s="10"/>
      <c r="E47" s="10"/>
      <c r="F47" s="11"/>
    </row>
  </sheetData>
  <mergeCells count="3">
    <mergeCell ref="A2:D5"/>
    <mergeCell ref="A37:F42"/>
    <mergeCell ref="A44:F47"/>
  </mergeCell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4.13"/>
  </cols>
  <sheetData>
    <row r="1" hidden="1">
      <c r="A1" s="17" t="s">
        <v>55</v>
      </c>
    </row>
    <row r="2" hidden="1">
      <c r="A2" s="20" t="s">
        <v>196</v>
      </c>
      <c r="B2" s="5"/>
      <c r="C2" s="5"/>
      <c r="D2" s="5"/>
      <c r="E2" s="5"/>
      <c r="F2" s="6"/>
      <c r="G2" s="3"/>
      <c r="H2" s="3"/>
      <c r="I2" s="3"/>
      <c r="J2" s="3"/>
      <c r="K2" s="3"/>
    </row>
    <row r="3" hidden="1">
      <c r="A3" s="7"/>
      <c r="F3" s="8"/>
      <c r="G3" s="3"/>
      <c r="H3" s="3"/>
      <c r="I3" s="3"/>
      <c r="J3" s="3"/>
      <c r="K3" s="3"/>
    </row>
    <row r="4" hidden="1">
      <c r="A4" s="7"/>
      <c r="F4" s="8"/>
      <c r="G4" s="3"/>
      <c r="H4" s="3"/>
      <c r="I4" s="3"/>
      <c r="J4" s="3"/>
      <c r="K4" s="3"/>
    </row>
    <row r="5" hidden="1">
      <c r="A5" s="7"/>
      <c r="F5" s="8"/>
      <c r="G5" s="3"/>
      <c r="H5" s="3"/>
      <c r="I5" s="3"/>
      <c r="J5" s="3"/>
      <c r="K5" s="3"/>
    </row>
    <row r="6" hidden="1">
      <c r="A6" s="7"/>
      <c r="F6" s="8"/>
      <c r="G6" s="3"/>
      <c r="H6" s="3"/>
      <c r="I6" s="3"/>
      <c r="J6" s="3"/>
      <c r="K6" s="3"/>
    </row>
    <row r="7" hidden="1">
      <c r="A7" s="7"/>
      <c r="F7" s="8"/>
      <c r="G7" s="3"/>
      <c r="H7" s="3"/>
      <c r="I7" s="3"/>
      <c r="J7" s="3"/>
      <c r="K7" s="3"/>
    </row>
    <row r="8" hidden="1">
      <c r="A8" s="7"/>
      <c r="F8" s="8"/>
      <c r="G8" s="3"/>
      <c r="H8" s="3"/>
      <c r="I8" s="3"/>
      <c r="J8" s="3"/>
      <c r="K8" s="3"/>
    </row>
    <row r="9" hidden="1">
      <c r="A9" s="7"/>
      <c r="F9" s="8"/>
      <c r="G9" s="3"/>
      <c r="H9" s="3"/>
      <c r="I9" s="3"/>
      <c r="J9" s="3"/>
      <c r="K9" s="3"/>
    </row>
    <row r="10" hidden="1">
      <c r="A10" s="7"/>
      <c r="F10" s="8"/>
      <c r="G10" s="3"/>
      <c r="H10" s="3"/>
      <c r="I10" s="3"/>
      <c r="J10" s="3"/>
      <c r="K10" s="3"/>
    </row>
    <row r="11" hidden="1">
      <c r="A11" s="7"/>
      <c r="F11" s="8"/>
      <c r="G11" s="3"/>
      <c r="H11" s="3"/>
      <c r="I11" s="3"/>
      <c r="J11" s="3"/>
      <c r="K11" s="3"/>
    </row>
    <row r="12" hidden="1">
      <c r="A12" s="7"/>
      <c r="F12" s="8"/>
      <c r="G12" s="3"/>
      <c r="H12" s="3"/>
      <c r="I12" s="3"/>
      <c r="J12" s="3"/>
      <c r="K12" s="3"/>
    </row>
    <row r="13" hidden="1">
      <c r="A13" s="7"/>
      <c r="F13" s="8"/>
      <c r="G13" s="3"/>
      <c r="H13" s="3"/>
      <c r="I13" s="3"/>
      <c r="J13" s="3"/>
      <c r="K13" s="3"/>
    </row>
    <row r="14" hidden="1">
      <c r="A14" s="9"/>
      <c r="B14" s="10"/>
      <c r="C14" s="10"/>
      <c r="D14" s="10"/>
      <c r="E14" s="10"/>
      <c r="F14" s="11"/>
      <c r="G14" s="3"/>
      <c r="H14" s="3"/>
      <c r="I14" s="3"/>
      <c r="J14" s="3"/>
      <c r="K14" s="3"/>
    </row>
    <row r="15" hidden="1"/>
    <row r="16" hidden="1">
      <c r="A16" s="17"/>
      <c r="E16" s="17"/>
    </row>
    <row r="17">
      <c r="A17" s="77" t="s">
        <v>197</v>
      </c>
      <c r="B17" s="77" t="s">
        <v>58</v>
      </c>
      <c r="C17" s="77" t="s">
        <v>198</v>
      </c>
    </row>
    <row r="18">
      <c r="A18" s="78" t="s">
        <v>199</v>
      </c>
      <c r="B18" s="78">
        <v>6339.0</v>
      </c>
      <c r="C18" s="78">
        <v>1.0</v>
      </c>
    </row>
    <row r="19">
      <c r="A19" s="78" t="s">
        <v>200</v>
      </c>
      <c r="B19" s="78">
        <v>4958.0</v>
      </c>
      <c r="C19" s="78">
        <v>2.0</v>
      </c>
    </row>
    <row r="20">
      <c r="A20" s="78" t="s">
        <v>201</v>
      </c>
      <c r="B20" s="78">
        <v>4347.0</v>
      </c>
      <c r="C20" s="78">
        <v>3.0</v>
      </c>
    </row>
    <row r="21">
      <c r="A21" s="78" t="s">
        <v>202</v>
      </c>
      <c r="B21" s="78">
        <v>4484.0</v>
      </c>
      <c r="C21" s="78">
        <v>4.0</v>
      </c>
    </row>
    <row r="22">
      <c r="A22" s="78" t="s">
        <v>203</v>
      </c>
      <c r="B22" s="78">
        <v>4551.0</v>
      </c>
      <c r="C22" s="78">
        <v>5.0</v>
      </c>
    </row>
    <row r="23">
      <c r="A23" s="78" t="s">
        <v>204</v>
      </c>
      <c r="B23" s="78">
        <v>4898.0</v>
      </c>
      <c r="C23" s="78">
        <v>6.0</v>
      </c>
    </row>
    <row r="24">
      <c r="A24" s="78" t="s">
        <v>205</v>
      </c>
      <c r="B24" s="78">
        <v>5836.0</v>
      </c>
      <c r="C24" s="78">
        <v>7.0</v>
      </c>
    </row>
    <row r="26">
      <c r="A26" s="17" t="s">
        <v>189</v>
      </c>
    </row>
    <row r="27"/>
    <row r="28"/>
    <row r="29"/>
    <row r="30"/>
    <row r="31"/>
    <row r="32"/>
    <row r="33"/>
    <row r="34"/>
    <row r="35">
      <c r="D35" s="80"/>
      <c r="E35" s="80"/>
      <c r="F35" s="80"/>
      <c r="G35" s="80"/>
      <c r="H35" s="80"/>
      <c r="I35" s="80"/>
    </row>
    <row r="36">
      <c r="A36" s="17"/>
      <c r="D36" s="80"/>
      <c r="E36" s="80"/>
      <c r="F36" s="80"/>
      <c r="G36" s="80"/>
      <c r="H36" s="80"/>
      <c r="I36" s="80"/>
    </row>
    <row r="37">
      <c r="A37" s="17" t="s">
        <v>176</v>
      </c>
      <c r="D37" s="80"/>
      <c r="E37" s="80"/>
      <c r="F37" s="80"/>
      <c r="G37" s="80"/>
      <c r="H37" s="80"/>
      <c r="I37" s="80"/>
    </row>
    <row r="38">
      <c r="A38" s="3" t="s">
        <v>197</v>
      </c>
      <c r="B38" s="3" t="s">
        <v>58</v>
      </c>
      <c r="C38" s="3" t="s">
        <v>198</v>
      </c>
      <c r="D38" s="81"/>
      <c r="E38" s="82"/>
      <c r="F38" s="82"/>
      <c r="G38" s="82"/>
      <c r="H38" s="82"/>
      <c r="I38" s="83"/>
    </row>
    <row r="39">
      <c r="A39" s="3" t="s">
        <v>199</v>
      </c>
      <c r="B39" s="3">
        <v>6341.0</v>
      </c>
      <c r="C39" s="3">
        <v>1.0</v>
      </c>
    </row>
    <row r="40">
      <c r="A40" s="3" t="s">
        <v>200</v>
      </c>
      <c r="B40" s="3">
        <v>4958.0</v>
      </c>
      <c r="C40" s="3">
        <v>2.0</v>
      </c>
    </row>
    <row r="41">
      <c r="A41" s="3" t="s">
        <v>201</v>
      </c>
      <c r="B41" s="3">
        <v>4350.0</v>
      </c>
      <c r="C41" s="3">
        <v>3.0</v>
      </c>
    </row>
    <row r="42">
      <c r="A42" s="3" t="s">
        <v>202</v>
      </c>
      <c r="B42" s="3">
        <v>4485.0</v>
      </c>
      <c r="C42" s="3">
        <v>4.0</v>
      </c>
    </row>
    <row r="43">
      <c r="A43" s="3" t="s">
        <v>203</v>
      </c>
      <c r="B43" s="3">
        <v>4586.0</v>
      </c>
      <c r="C43" s="3">
        <v>5.0</v>
      </c>
    </row>
    <row r="44">
      <c r="A44" s="3" t="s">
        <v>204</v>
      </c>
      <c r="B44" s="3">
        <v>4898.0</v>
      </c>
      <c r="C44" s="3">
        <v>6.0</v>
      </c>
    </row>
    <row r="45">
      <c r="A45" s="3" t="s">
        <v>205</v>
      </c>
      <c r="B45" s="3">
        <v>5833.0</v>
      </c>
      <c r="C45" s="3">
        <v>7.0</v>
      </c>
    </row>
    <row r="60">
      <c r="A60" s="17" t="s">
        <v>59</v>
      </c>
      <c r="H60" s="17" t="s">
        <v>183</v>
      </c>
    </row>
    <row r="61">
      <c r="A61" s="84" t="s">
        <v>206</v>
      </c>
      <c r="B61" s="5"/>
      <c r="C61" s="5"/>
      <c r="D61" s="5"/>
      <c r="E61" s="5"/>
      <c r="F61" s="6"/>
      <c r="H61" s="4" t="s">
        <v>207</v>
      </c>
      <c r="I61" s="5"/>
      <c r="J61" s="5"/>
      <c r="K61" s="5"/>
      <c r="L61" s="5"/>
      <c r="M61" s="6"/>
    </row>
    <row r="62">
      <c r="A62" s="7"/>
      <c r="F62" s="8"/>
      <c r="H62" s="7"/>
      <c r="M62" s="8"/>
    </row>
    <row r="63">
      <c r="A63" s="7"/>
      <c r="F63" s="8"/>
      <c r="H63" s="7"/>
      <c r="M63" s="8"/>
    </row>
    <row r="64">
      <c r="A64" s="7"/>
      <c r="F64" s="8"/>
      <c r="H64" s="7"/>
      <c r="M64" s="8"/>
    </row>
    <row r="65">
      <c r="A65" s="7"/>
      <c r="F65" s="8"/>
      <c r="H65" s="7"/>
      <c r="M65" s="8"/>
    </row>
    <row r="66">
      <c r="A66" s="7"/>
      <c r="F66" s="8"/>
      <c r="H66" s="7"/>
      <c r="M66" s="8"/>
    </row>
    <row r="67">
      <c r="A67" s="7"/>
      <c r="F67" s="8"/>
      <c r="H67" s="7"/>
      <c r="M67" s="8"/>
    </row>
    <row r="68">
      <c r="A68" s="9"/>
      <c r="B68" s="10"/>
      <c r="C68" s="10"/>
      <c r="D68" s="10"/>
      <c r="E68" s="10"/>
      <c r="F68" s="11"/>
      <c r="H68" s="7"/>
      <c r="M68" s="8"/>
    </row>
    <row r="69">
      <c r="H69" s="7"/>
      <c r="M69" s="8"/>
    </row>
    <row r="70">
      <c r="H70" s="7"/>
      <c r="M70" s="8"/>
    </row>
    <row r="71">
      <c r="G71" s="3"/>
      <c r="H71" s="9"/>
      <c r="I71" s="10"/>
      <c r="J71" s="10"/>
      <c r="K71" s="10"/>
      <c r="L71" s="10"/>
      <c r="M71" s="11"/>
    </row>
  </sheetData>
  <mergeCells count="3">
    <mergeCell ref="A2:F14"/>
    <mergeCell ref="A61:F68"/>
    <mergeCell ref="H61:M71"/>
  </mergeCell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7.63"/>
  </cols>
  <sheetData>
    <row r="1" ht="15.0" hidden="1" customHeight="1">
      <c r="A1" s="3" t="s">
        <v>55</v>
      </c>
    </row>
    <row r="2" hidden="1">
      <c r="A2" s="19" t="s">
        <v>208</v>
      </c>
      <c r="B2" s="5"/>
      <c r="C2" s="5"/>
      <c r="D2" s="5"/>
      <c r="E2" s="6"/>
    </row>
    <row r="3" hidden="1">
      <c r="A3" s="7"/>
      <c r="E3" s="8"/>
    </row>
    <row r="4" hidden="1">
      <c r="A4" s="7"/>
      <c r="E4" s="8"/>
    </row>
    <row r="5" hidden="1">
      <c r="A5" s="7"/>
      <c r="E5" s="8"/>
    </row>
    <row r="6" hidden="1">
      <c r="A6" s="9"/>
      <c r="B6" s="10"/>
      <c r="C6" s="10"/>
      <c r="D6" s="10"/>
      <c r="E6" s="11"/>
    </row>
    <row r="8">
      <c r="A8" s="21" t="s">
        <v>209</v>
      </c>
      <c r="B8" s="21" t="s">
        <v>58</v>
      </c>
      <c r="C8" s="85" t="s">
        <v>210</v>
      </c>
      <c r="D8" s="85" t="s">
        <v>211</v>
      </c>
    </row>
    <row r="9">
      <c r="A9" s="3" t="s">
        <v>212</v>
      </c>
      <c r="B9" s="3">
        <v>2852.0</v>
      </c>
      <c r="C9" s="3">
        <v>3088.0</v>
      </c>
      <c r="D9" s="79">
        <f t="shared" ref="D9:D21" si="1">C9/B9</f>
        <v>1.082748948</v>
      </c>
    </row>
    <row r="10">
      <c r="A10" s="3" t="s">
        <v>213</v>
      </c>
      <c r="B10" s="3">
        <v>3392.0</v>
      </c>
      <c r="C10" s="3">
        <v>3688.0</v>
      </c>
      <c r="D10" s="79">
        <f t="shared" si="1"/>
        <v>1.087264151</v>
      </c>
    </row>
    <row r="11">
      <c r="A11" s="3" t="s">
        <v>214</v>
      </c>
      <c r="B11" s="3">
        <v>2457.0</v>
      </c>
      <c r="C11" s="3">
        <v>2637.0</v>
      </c>
      <c r="D11" s="79">
        <f t="shared" si="1"/>
        <v>1.073260073</v>
      </c>
    </row>
    <row r="12">
      <c r="A12" s="3" t="s">
        <v>215</v>
      </c>
      <c r="B12" s="3">
        <v>3467.0</v>
      </c>
      <c r="C12" s="3">
        <v>3773.0</v>
      </c>
      <c r="D12" s="79">
        <f t="shared" si="1"/>
        <v>1.088260744</v>
      </c>
    </row>
    <row r="13">
      <c r="A13" s="3" t="s">
        <v>216</v>
      </c>
      <c r="B13" s="3">
        <v>2438.0</v>
      </c>
      <c r="C13" s="3">
        <v>2659.0</v>
      </c>
      <c r="D13" s="79">
        <f t="shared" si="1"/>
        <v>1.090648072</v>
      </c>
    </row>
    <row r="14">
      <c r="A14" s="3" t="s">
        <v>217</v>
      </c>
      <c r="B14" s="3">
        <v>2938.0</v>
      </c>
      <c r="C14" s="3">
        <v>3200.0</v>
      </c>
      <c r="D14" s="79">
        <f t="shared" si="1"/>
        <v>1.08917631</v>
      </c>
    </row>
    <row r="15">
      <c r="A15" s="3" t="s">
        <v>218</v>
      </c>
      <c r="B15" s="3">
        <v>3343.0</v>
      </c>
      <c r="C15" s="3">
        <v>3690.0</v>
      </c>
      <c r="D15" s="79">
        <f t="shared" si="1"/>
        <v>1.103798983</v>
      </c>
    </row>
    <row r="16">
      <c r="A16" s="3" t="s">
        <v>219</v>
      </c>
      <c r="B16" s="3">
        <v>2330.0</v>
      </c>
      <c r="C16" s="3">
        <v>2516.0</v>
      </c>
      <c r="D16" s="79">
        <f t="shared" si="1"/>
        <v>1.079828326</v>
      </c>
    </row>
    <row r="17">
      <c r="A17" s="3" t="s">
        <v>220</v>
      </c>
      <c r="B17" s="3">
        <v>3469.0</v>
      </c>
      <c r="C17" s="3">
        <v>3743.0</v>
      </c>
      <c r="D17" s="79">
        <f t="shared" si="1"/>
        <v>1.078985298</v>
      </c>
    </row>
    <row r="18">
      <c r="A18" s="3" t="s">
        <v>221</v>
      </c>
      <c r="B18" s="3">
        <v>3106.0</v>
      </c>
      <c r="C18" s="3">
        <v>3376.0</v>
      </c>
      <c r="D18" s="79">
        <f t="shared" si="1"/>
        <v>1.086928525</v>
      </c>
    </row>
    <row r="19">
      <c r="A19" s="3" t="s">
        <v>222</v>
      </c>
      <c r="B19" s="3">
        <v>3517.0</v>
      </c>
      <c r="C19" s="3">
        <v>3788.0</v>
      </c>
      <c r="D19" s="79">
        <f t="shared" si="1"/>
        <v>1.077054308</v>
      </c>
    </row>
    <row r="20">
      <c r="A20" s="3" t="s">
        <v>223</v>
      </c>
      <c r="B20" s="3">
        <v>2104.0</v>
      </c>
      <c r="C20" s="3">
        <v>2291.0</v>
      </c>
      <c r="D20" s="79">
        <f t="shared" si="1"/>
        <v>1.088878327</v>
      </c>
    </row>
    <row r="21">
      <c r="A21" s="3" t="s">
        <v>17</v>
      </c>
      <c r="B21" s="86">
        <f t="shared" ref="B21:C21" si="2">SUM(B2:B20)</f>
        <v>35413</v>
      </c>
      <c r="C21" s="86">
        <f t="shared" si="2"/>
        <v>38449</v>
      </c>
      <c r="D21" s="87">
        <f t="shared" si="1"/>
        <v>1.085731229</v>
      </c>
    </row>
    <row r="22"/>
    <row r="23"/>
    <row r="24"/>
    <row r="25"/>
    <row r="26"/>
    <row r="28"/>
    <row r="29">
      <c r="F29" s="17" t="s">
        <v>59</v>
      </c>
      <c r="M29" s="17" t="s">
        <v>232</v>
      </c>
    </row>
    <row r="30">
      <c r="F30" s="88" t="s">
        <v>233</v>
      </c>
      <c r="G30" s="5"/>
      <c r="H30" s="5"/>
      <c r="I30" s="5"/>
      <c r="J30" s="5"/>
      <c r="K30" s="6"/>
      <c r="M30" s="4" t="s">
        <v>234</v>
      </c>
      <c r="N30" s="5"/>
      <c r="O30" s="5"/>
      <c r="P30" s="5"/>
      <c r="Q30" s="5"/>
      <c r="R30" s="6"/>
    </row>
    <row r="31">
      <c r="F31" s="7"/>
      <c r="K31" s="8"/>
      <c r="M31" s="7"/>
      <c r="R31" s="8"/>
    </row>
    <row r="32">
      <c r="F32" s="7"/>
      <c r="K32" s="8"/>
      <c r="M32" s="7"/>
      <c r="R32" s="8"/>
    </row>
    <row r="33">
      <c r="F33" s="7"/>
      <c r="K33" s="8"/>
      <c r="M33" s="7"/>
      <c r="R33" s="8"/>
    </row>
    <row r="34">
      <c r="F34" s="7"/>
      <c r="K34" s="8"/>
      <c r="M34" s="7"/>
      <c r="R34" s="8"/>
    </row>
    <row r="35">
      <c r="F35" s="7"/>
      <c r="K35" s="8"/>
      <c r="M35" s="7"/>
      <c r="R35" s="8"/>
    </row>
    <row r="36">
      <c r="F36" s="7"/>
      <c r="K36" s="8"/>
      <c r="M36" s="7"/>
      <c r="R36" s="8"/>
    </row>
    <row r="37">
      <c r="F37" s="7"/>
      <c r="K37" s="8"/>
      <c r="M37" s="7"/>
      <c r="R37" s="8"/>
    </row>
    <row r="38">
      <c r="F38" s="7"/>
      <c r="K38" s="8"/>
      <c r="M38" s="7"/>
      <c r="R38" s="8"/>
    </row>
    <row r="39">
      <c r="F39" s="7"/>
      <c r="K39" s="8"/>
      <c r="M39" s="7"/>
      <c r="R39" s="8"/>
    </row>
    <row r="40">
      <c r="F40" s="7"/>
      <c r="K40" s="8"/>
      <c r="M40" s="7"/>
      <c r="R40" s="8"/>
    </row>
    <row r="41">
      <c r="F41" s="7"/>
      <c r="K41" s="8"/>
      <c r="M41" s="7"/>
      <c r="R41" s="8"/>
    </row>
    <row r="42">
      <c r="F42" s="7"/>
      <c r="K42" s="8"/>
      <c r="M42" s="7"/>
      <c r="R42" s="8"/>
    </row>
    <row r="43">
      <c r="F43" s="9"/>
      <c r="G43" s="10"/>
      <c r="H43" s="10"/>
      <c r="I43" s="10"/>
      <c r="J43" s="10"/>
      <c r="K43" s="11"/>
      <c r="M43" s="9"/>
      <c r="N43" s="10"/>
      <c r="O43" s="10"/>
      <c r="P43" s="10"/>
      <c r="Q43" s="10"/>
      <c r="R43" s="11"/>
    </row>
  </sheetData>
  <mergeCells count="3">
    <mergeCell ref="A2:E6"/>
    <mergeCell ref="F30:K43"/>
    <mergeCell ref="M30:R43"/>
  </mergeCells>
  <drawing r:id="rId3"/>
</worksheet>
</file>